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0814ecc6344382" /></Relationships>
</file>

<file path=xl/workbook.xml><?xml version="1.0" encoding="utf-8"?>
<x:workbook xmlns:x="http://schemas.openxmlformats.org/spreadsheetml/2006/main">
  <x:sheets>
    <x:sheet xmlns:r="http://schemas.openxmlformats.org/officeDocument/2006/relationships" name="Summary" sheetId="1" r:id="R254704bc7fac4454"/>
    <x:sheet xmlns:r="http://schemas.openxmlformats.org/officeDocument/2006/relationships" name="Candidate Bank" sheetId="2" r:id="Recb166249a1048d3"/>
    <x:sheet xmlns:r="http://schemas.openxmlformats.org/officeDocument/2006/relationships" name="Quarantine" sheetId="3" r:id="R824d4c0bb86840cb"/>
    <x:sheet xmlns:r="http://schemas.openxmlformats.org/officeDocument/2006/relationships" name="Rules" sheetId="4" r:id="R4bf008b027fe42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Georgia"/>
    </x:font>
    <x:font>
      <x:b/>
      <x:sz val="11"/>
      <x:color rgb="FFF4E8C1"/>
      <x:name val="Georgia"/>
    </x:font>
    <x:font>
      <x:b/>
      <x:sz val="11"/>
      <x:color rgb="FF4A0B10"/>
      <x:name val="Carlito"/>
    </x:font>
    <x:font>
      <x:b/>
      <x:sz val="11"/>
      <x:color rgb="FF2F241B"/>
      <x:name val="Carlito"/>
    </x:font>
    <x:font>
      <x:sz val="11"/>
      <x:color rgb="FF2F241B"/>
      <x:name val="Carlito"/>
    </x:font>
    <x:font>
      <x:b/>
      <x:sz val="11"/>
      <x:color rgb="FFFFFFFF"/>
      <x:name val="Carlito"/>
    </x:font>
  </x:fonts>
  <x:fills count="6">
    <x:fill>
      <x:patternFill patternType="none"/>
    </x:fill>
    <x:fill>
      <x:patternFill patternType="gray125"/>
    </x:fill>
    <x:fill>
      <x:patternFill patternType="solid">
        <x:fgColor rgb="FF6D1018"/>
      </x:patternFill>
    </x:fill>
    <x:fill>
      <x:patternFill patternType="solid">
        <x:fgColor rgb="FFFBF7EC"/>
      </x:patternFill>
    </x:fill>
    <x:fill>
      <x:patternFill patternType="solid">
        <x:fgColor rgb="FFF4E8C1"/>
      </x:patternFill>
    </x:fill>
    <x:fill>
      <x:patternFill patternType="solid">
        <x:fgColor rgb="FF4A0B10"/>
      </x:patternFill>
    </x:fill>
  </x:fills>
  <x:borders count="21">
    <x:border/>
    <x:border>
      <x:left style="thin">
        <x:color rgb="FFC9A54C"/>
      </x:left>
      <x:top style="thin">
        <x:color rgb="FFC9A54C"/>
      </x:top>
    </x:border>
    <x:border>
      <x:right style="thin">
        <x:color rgb="FFC9A54C"/>
      </x:right>
      <x:top style="thin">
        <x:color rgb="FFC9A54C"/>
      </x:top>
    </x:border>
    <x:border>
      <x:left style="thin">
        <x:color rgb="FFC9A54C"/>
      </x:left>
    </x:border>
    <x:border>
      <x:right style="thin">
        <x:color rgb="FFC9A54C"/>
      </x:right>
    </x:border>
    <x:border>
      <x:left style="thin">
        <x:color rgb="FFC9A54C"/>
      </x:left>
      <x:bottom style="thin">
        <x:color rgb="FFC9A54C"/>
      </x:bottom>
    </x:border>
    <x:border>
      <x:right style="thin">
        <x:color rgb="FFC9A54C"/>
      </x:right>
      <x:bottom style="thin">
        <x:color rgb="FFC9A54C"/>
      </x:bottom>
    </x:border>
    <x:border>
      <x:bottom style="double">
        <x:color rgb="FFC9A54C"/>
      </x:bottom>
    </x:border>
    <x:border>
      <x:left style="thin">
        <x:color rgb="FFD8CBA8"/>
      </x:left>
      <x:top style="thin">
        <x:color rgb="FFD8CBA8"/>
      </x:top>
    </x:border>
    <x:border>
      <x:top style="thin">
        <x:color rgb="FFD8CBA8"/>
      </x:top>
    </x:border>
    <x:border>
      <x:right style="thin">
        <x:color rgb="FFD8CBA8"/>
      </x:right>
      <x:top style="thin">
        <x:color rgb="FFD8CBA8"/>
      </x:top>
    </x:border>
    <x:border>
      <x:left style="thin">
        <x:color rgb="FFD8CBA8"/>
      </x:left>
    </x:border>
    <x:border>
      <x:right style="thin">
        <x:color rgb="FFD8CBA8"/>
      </x:right>
    </x:border>
    <x:border>
      <x:left style="thin">
        <x:color rgb="FFD8CBA8"/>
      </x:left>
      <x:bottom style="thin">
        <x:color rgb="FFD8CBA8"/>
      </x:bottom>
    </x:border>
    <x:border>
      <x:bottom style="thin">
        <x:color rgb="FFD8CBA8"/>
      </x:bottom>
    </x:border>
    <x:border>
      <x:right style="thin">
        <x:color rgb="FFD8CBA8"/>
      </x:right>
      <x:bottom style="thin">
        <x:color rgb="FFD8CBA8"/>
      </x:bottom>
    </x:border>
    <x:border>
      <x:right style="thin">
        <x:color rgb="FFD8CBA8"/>
      </x:right>
      <x:top style="thin">
        <x:color rgb="FFD8CBA8"/>
      </x:top>
      <x:bottom style="thin">
        <x:color rgb="FFD8CBA8"/>
      </x:bottom>
    </x:border>
    <x:border>
      <x:left style="thin">
        <x:color rgb="FFD8CBA8"/>
      </x:left>
      <x:top style="thin">
        <x:color rgb="FFD8CBA8"/>
      </x:top>
      <x:bottom style="thin">
        <x:color rgb="FFD8CBA8"/>
      </x:bottom>
    </x:border>
    <x:border>
      <x:left style="thin">
        <x:color rgb="FFD8CBA8"/>
      </x:left>
      <x:right style="thin">
        <x:color rgb="FFD8CBA8"/>
      </x:right>
      <x:bottom style="thin">
        <x:color rgb="FFD8CBA8"/>
      </x:bottom>
    </x:border>
    <x:border>
      <x:left style="thin">
        <x:color rgb="FFD8CBA8"/>
      </x:left>
      <x:right style="thin">
        <x:color rgb="FFD8CBA8"/>
      </x:right>
      <x:top style="thin">
        <x:color rgb="FFD8CBA8"/>
      </x:top>
      <x:bottom style="thin">
        <x:color rgb="FFD8CBA8"/>
      </x:bottom>
    </x:border>
    <x:border>
      <x:left style="thin">
        <x:color rgb="FFD8CBA8"/>
      </x:left>
      <x:right style="thin">
        <x:color rgb="FFD8CBA8"/>
      </x:right>
      <x:top style="thin">
        <x:color rgb="FFD8CBA8"/>
      </x:top>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3" fillId="3" borderId="1" xfId="0" applyNumberFormat="1" applyFont="1" applyFill="1" applyBorder="1"/>
    <x:xf numFmtId="0" fontId="3" fillId="3" borderId="3" xfId="0" applyNumberFormat="1" applyFont="1" applyFill="1" applyBorder="1"/>
    <x:xf numFmtId="0" fontId="3" fillId="3" borderId="5" xfId="0" applyNumberFormat="1" applyFont="1" applyFill="1" applyBorder="1"/>
    <x:xf numFmtId="0" fontId="4" fillId="3" borderId="2" xfId="0" applyNumberFormat="1" applyFont="1" applyFill="1" applyBorder="1"/>
    <x:xf numFmtId="0" fontId="4" fillId="3" borderId="4" xfId="0" applyNumberFormat="1" applyFont="1" applyFill="1" applyBorder="1"/>
    <x:xf numFmtId="0" fontId="4" fillId="3" borderId="6" xfId="0" applyNumberFormat="1" applyFont="1" applyFill="1" applyBorder="1"/>
    <x:xf numFmtId="200" fontId="4" fillId="3" borderId="2" xfId="0" applyNumberFormat="1" applyFont="1" applyFill="1" applyBorder="1"/>
    <x:xf numFmtId="200" fontId="4" fillId="3" borderId="4" xfId="0" applyNumberFormat="1" applyFont="1" applyFill="1" applyBorder="1"/>
    <x:xf numFmtId="200" fontId="4" fillId="3"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7" xfId="0" applyNumberFormat="1" applyFont="1" applyFill="1" applyBorder="1"/>
    <x:xf numFmtId="0" fontId="5" fillId="3" borderId="0" xfId="0" applyNumberFormat="1" applyFont="1" applyFill="1" applyBorder="1"/>
    <x:xf numFmtId="0" fontId="5" fillId="3" borderId="8" xfId="0" applyNumberFormat="1" applyFont="1" applyFill="1" applyBorder="1"/>
    <x:xf numFmtId="0" fontId="5" fillId="3" borderId="9" xfId="0" applyNumberFormat="1" applyFont="1" applyFill="1" applyBorder="1"/>
    <x:xf numFmtId="0" fontId="5" fillId="3" borderId="10" xfId="0" applyNumberFormat="1" applyFont="1" applyFill="1" applyBorder="1"/>
    <x:xf numFmtId="0" fontId="5" fillId="3" borderId="11" xfId="0" applyNumberFormat="1" applyFont="1" applyFill="1" applyBorder="1"/>
    <x:xf numFmtId="0" fontId="5" fillId="3" borderId="12" xfId="0" applyNumberFormat="1" applyFont="1" applyFill="1" applyBorder="1"/>
    <x:xf numFmtId="0" fontId="5" fillId="3" borderId="13" xfId="0" applyNumberFormat="1" applyFont="1" applyFill="1" applyBorder="1"/>
    <x:xf numFmtId="0" fontId="5" fillId="3" borderId="14" xfId="0" applyNumberFormat="1" applyFont="1" applyFill="1" applyBorder="1"/>
    <x:xf numFmtId="0" fontId="5" fillId="3" borderId="15" xfId="0" applyNumberFormat="1" applyFont="1" applyFill="1" applyBorder="1"/>
    <x:xf numFmtId="0" fontId="5" fillId="3" borderId="8" xfId="0" applyNumberFormat="1" applyFont="1" applyFill="1" applyBorder="1" applyAlignment="1">
      <x:alignment wrapText="1"/>
    </x:xf>
    <x:xf numFmtId="0" fontId="5" fillId="3" borderId="9" xfId="0" applyNumberFormat="1" applyFont="1" applyFill="1" applyBorder="1" applyAlignment="1">
      <x:alignment wrapText="1"/>
    </x:xf>
    <x:xf numFmtId="0" fontId="5" fillId="3" borderId="10" xfId="0" applyNumberFormat="1" applyFont="1" applyFill="1" applyBorder="1" applyAlignment="1">
      <x:alignment wrapText="1"/>
    </x:xf>
    <x:xf numFmtId="0" fontId="5" fillId="3" borderId="11"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12" xfId="0" applyNumberFormat="1" applyFont="1" applyFill="1" applyBorder="1" applyAlignment="1">
      <x:alignment wrapText="1"/>
    </x:xf>
    <x:xf numFmtId="0" fontId="5" fillId="3" borderId="13" xfId="0" applyNumberFormat="1" applyFont="1" applyFill="1" applyBorder="1" applyAlignment="1">
      <x:alignment wrapText="1"/>
    </x:xf>
    <x:xf numFmtId="0" fontId="5" fillId="3" borderId="14" xfId="0" applyNumberFormat="1" applyFont="1" applyFill="1" applyBorder="1" applyAlignment="1">
      <x:alignment wrapText="1"/>
    </x:xf>
    <x:xf numFmtId="0" fontId="5" fillId="3" borderId="15" xfId="0" applyNumberFormat="1" applyFont="1" applyFill="1" applyBorder="1" applyAlignment="1">
      <x:alignment wrapText="1"/>
    </x:xf>
    <x:xf numFmtId="0" fontId="5" fillId="3" borderId="8"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5" fillId="3" borderId="10" xfId="0" applyNumberFormat="1" applyFont="1" applyFill="1" applyBorder="1" applyAlignment="1">
      <x:alignment vertical="top" wrapText="1"/>
    </x:xf>
    <x:xf numFmtId="0" fontId="5" fillId="3" borderId="1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12" xfId="0" applyNumberFormat="1" applyFont="1" applyFill="1" applyBorder="1" applyAlignment="1">
      <x:alignment vertical="top" wrapText="1"/>
    </x:xf>
    <x:xf numFmtId="0" fontId="5" fillId="3" borderId="13" xfId="0" applyNumberFormat="1" applyFont="1" applyFill="1" applyBorder="1" applyAlignment="1">
      <x:alignment vertical="top" wrapText="1"/>
    </x:xf>
    <x:xf numFmtId="0" fontId="5" fillId="3" borderId="14" xfId="0" applyNumberFormat="1" applyFont="1" applyFill="1" applyBorder="1" applyAlignment="1">
      <x:alignment vertical="top" wrapText="1"/>
    </x:xf>
    <x:xf numFmtId="0" fontId="5" fillId="3" borderId="15" xfId="0" applyNumberFormat="1" applyFont="1" applyFill="1" applyBorder="1" applyAlignment="1">
      <x:alignment vertical="top" wrapText="1"/>
    </x:xf>
    <x:xf numFmtId="0" fontId="6" fillId="2" borderId="0" xfId="0" applyNumberFormat="1" applyFont="1" applyFill="1" applyBorder="1"/>
    <x:xf numFmtId="0" fontId="0" fillId="3" borderId="15" xfId="0" applyNumberFormat="1" applyFont="1" applyFill="1" applyBorder="1"/>
    <x:xf numFmtId="0" fontId="0" fillId="3" borderId="13" xfId="0" applyNumberFormat="1" applyFont="1" applyFill="1" applyBorder="1"/>
    <x:xf numFmtId="0" fontId="0" fillId="3" borderId="16" xfId="0" applyNumberFormat="1" applyFont="1" applyFill="1" applyBorder="1"/>
    <x:xf numFmtId="0" fontId="0" fillId="3" borderId="17" xfId="0" applyNumberFormat="1" applyFont="1" applyFill="1" applyBorder="1"/>
    <x:xf numFmtId="0" fontId="0" fillId="3" borderId="10" xfId="0" applyNumberFormat="1" applyFont="1" applyFill="1" applyBorder="1"/>
    <x:xf numFmtId="0" fontId="0" fillId="3" borderId="8" xfId="0" applyNumberFormat="1" applyFont="1" applyFill="1" applyBorder="1"/>
    <x:xf numFmtId="0" fontId="6"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6" fillId="2" borderId="0" xfId="0" applyNumberFormat="1" applyFont="1" applyFill="1" applyBorder="1" applyAlignment="1">
      <x:alignment wrapText="1"/>
    </x:xf>
    <x:xf numFmtId="200" fontId="0" fillId="0" borderId="0"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200" fontId="6" fillId="5" borderId="0" xfId="0" applyNumberFormat="1" applyFont="1" applyFill="1" applyBorder="1" applyAlignment="1">
      <x:alignment wrapText="1"/>
    </x:xf>
    <x:xf numFmtId="0" fontId="2" fillId="2" borderId="0"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0" fillId="3" borderId="20" xfId="0" applyNumberFormat="1" applyFont="1" applyFill="1" applyBorder="1"/>
    <x:xf numFmtId="0" fontId="0" fillId="3" borderId="15" xfId="0" applyNumberFormat="1" applyFont="1" applyFill="1" applyBorder="1" applyAlignment="1">
      <x:alignment wrapText="1"/>
    </x:xf>
    <x:xf numFmtId="0" fontId="0" fillId="3" borderId="18" xfId="0" applyNumberFormat="1" applyFont="1" applyFill="1" applyBorder="1" applyAlignment="1">
      <x:alignment wrapText="1"/>
    </x:xf>
    <x:xf numFmtId="0" fontId="0" fillId="3" borderId="13" xfId="0" applyNumberFormat="1" applyFont="1" applyFill="1" applyBorder="1" applyAlignment="1">
      <x:alignment wrapText="1"/>
    </x:xf>
    <x:xf numFmtId="0" fontId="0" fillId="3" borderId="16" xfId="0" applyNumberFormat="1" applyFont="1" applyFill="1" applyBorder="1" applyAlignment="1">
      <x:alignment wrapText="1"/>
    </x:xf>
    <x:xf numFmtId="0" fontId="0" fillId="3" borderId="19" xfId="0" applyNumberFormat="1" applyFont="1" applyFill="1" applyBorder="1" applyAlignment="1">
      <x:alignment wrapText="1"/>
    </x:xf>
    <x:xf numFmtId="0" fontId="0" fillId="3" borderId="17" xfId="0" applyNumberFormat="1" applyFont="1" applyFill="1" applyBorder="1" applyAlignment="1">
      <x:alignment wrapText="1"/>
    </x:xf>
    <x:xf numFmtId="0" fontId="0" fillId="3" borderId="10" xfId="0" applyNumberFormat="1" applyFont="1" applyFill="1" applyBorder="1" applyAlignment="1">
      <x:alignment wrapText="1"/>
    </x:xf>
    <x:xf numFmtId="0" fontId="0" fillId="3" borderId="20" xfId="0" applyNumberFormat="1" applyFont="1" applyFill="1" applyBorder="1" applyAlignment="1">
      <x:alignment wrapText="1"/>
    </x:xf>
    <x:xf numFmtId="0" fontId="0" fillId="3" borderId="8" xfId="0" applyNumberFormat="1" applyFont="1" applyFill="1" applyBorder="1" applyAlignment="1">
      <x:alignment wrapText="1"/>
    </x:xf>
    <x:xf numFmtId="0" fontId="0" fillId="3" borderId="15" xfId="0" applyNumberFormat="1" applyFont="1" applyFill="1" applyBorder="1" applyAlignment="1">
      <x:alignment vertical="top" wrapText="1"/>
    </x:xf>
    <x:xf numFmtId="0" fontId="0" fillId="3" borderId="18"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0" fillId="3" borderId="16" xfId="0" applyNumberFormat="1" applyFont="1" applyFill="1" applyBorder="1" applyAlignment="1">
      <x:alignment vertical="top" wrapText="1"/>
    </x:xf>
    <x:xf numFmtId="0" fontId="0" fillId="3" borderId="19" xfId="0" applyNumberFormat="1" applyFont="1" applyFill="1" applyBorder="1" applyAlignment="1">
      <x:alignment vertical="top" wrapText="1"/>
    </x:xf>
    <x:xf numFmtId="0" fontId="0" fillId="3" borderId="17" xfId="0" applyNumberFormat="1" applyFont="1" applyFill="1" applyBorder="1" applyAlignment="1">
      <x:alignment vertical="top" wrapText="1"/>
    </x:xf>
    <x:xf numFmtId="0" fontId="0" fillId="3" borderId="10" xfId="0" applyNumberFormat="1" applyFont="1" applyFill="1" applyBorder="1" applyAlignment="1">
      <x:alignment vertical="top" wrapText="1"/>
    </x:xf>
    <x:xf numFmtId="0" fontId="0" fillId="3" borderId="20" xfId="0" applyNumberFormat="1" applyFont="1" applyFill="1" applyBorder="1" applyAlignment="1">
      <x:alignment vertical="top" wrapText="1"/>
    </x:xf>
    <x:xf numFmtId="0" fontId="0" fillId="3" borderId="8" xfId="0" applyNumberFormat="1" applyFont="1" applyFill="1" applyBorder="1" applyAlignment="1">
      <x:alignment vertical="top" wrapText="1"/>
    </x:xf>
  </x:cellXfs>
  <x:cellStyles count="1">
    <x:cellStyle name="Normal" xfId="0"/>
  </x:cellStyles>
  <x:dxfs count="5">
    <x:dxf>
      <x:font>
        <x:color rgb="FF225B31"/>
      </x:font>
      <x:fill>
        <x:patternFill patternType="solid">
          <x:bgColor rgb="FFE5F4E8"/>
        </x:patternFill>
      </x:fill>
    </x:dxf>
    <x:dxf>
      <x:font>
        <x:color rgb="FF705500"/>
      </x:font>
      <x:fill>
        <x:patternFill patternType="solid">
          <x:bgColor rgb="FFFFF2CC"/>
        </x:patternFill>
      </x:fill>
    </x:dxf>
    <x:dxf>
      <x:font>
        <x:color rgb="FF4A0B10"/>
      </x:font>
      <x:fill>
        <x:patternFill patternType="solid">
          <x:bgColor rgb="FFFCE4E4"/>
        </x:patternFill>
      </x:fill>
    </x:dxf>
    <x:dxf>
      <x:font>
        <x:color rgb="FF705500"/>
      </x:font>
      <x:fill>
        <x:patternFill patternType="solid">
          <x:bgColor rgb="FFFFF2CC"/>
        </x:patternFill>
      </x:fill>
    </x:dxf>
    <x:dxf>
      <x:font>
        <x:color rgb="FF4A0B10"/>
      </x:font>
      <x:fill>
        <x:patternFill patternType="solid">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861a4360074c3e" /><Relationship Type="http://schemas.openxmlformats.org/officeDocument/2006/relationships/theme" Target="/xl/theme/theme1.xml" Id="R82d69daef1da41d1" /><Relationship Type="http://schemas.openxmlformats.org/officeDocument/2006/relationships/sharedStrings" Target="/xl/sharedStrings.xml" Id="R292bffb70e254036" /><Relationship Type="http://schemas.openxmlformats.org/officeDocument/2006/relationships/worksheet" Target="/xl/worksheets/sheet1.xml" Id="R254704bc7fac4454" /><Relationship Type="http://schemas.openxmlformats.org/officeDocument/2006/relationships/worksheet" Target="/xl/worksheets/sheet2.xml" Id="Recb166249a1048d3" /><Relationship Type="http://schemas.openxmlformats.org/officeDocument/2006/relationships/worksheet" Target="/xl/worksheets/sheet3.xml" Id="R824d4c0bb86840cb" /><Relationship Type="http://schemas.openxmlformats.org/officeDocument/2006/relationships/worksheet" Target="/xl/worksheets/sheet4.xml" Id="R4bf008b027fe428f" /></Relationships>
</file>

<file path=xl/tables/table1.xml><?xml version="1.0" encoding="utf-8"?>
<x:table xmlns:x="http://schemas.openxmlformats.org/spreadsheetml/2006/main" id="1" name="CandidateQuestionBank" displayName="CandidateQuestionBank" ref="A1:P314" headerRowCount="1" totalsRowCount="0" totalsRowShown="0">
  <x:tableColumns count="16">
    <x:tableColumn id="1" name="Question_ID"/>
    <x:tableColumn id="2" name="Source_Row"/>
    <x:tableColumn id="3" name="Subject"/>
    <x:tableColumn id="4" name="Difficulty"/>
    <x:tableColumn id="5" name="Topic"/>
    <x:tableColumn id="6" name="Question"/>
    <x:tableColumn id="7" name="Option_A"/>
    <x:tableColumn id="8" name="Option_B"/>
    <x:tableColumn id="9" name="Option_C"/>
    <x:tableColumn id="10" name="Option_D"/>
    <x:tableColumn id="11" name="Correct_Option"/>
    <x:tableColumn id="12" name="Correct_Answer"/>
    <x:tableColumn id="13" name="Explanation"/>
    <x:tableColumn id="14" name="Source_Series"/>
    <x:tableColumn id="15" name="Original_Subject"/>
    <x:tableColumn id="16" name="Editorial_Note"/>
  </x:tableColumns>
  <x:tableStyleInfo name="TableStyleMedium2" showFirstColumn="0" showLastColumn="0" showRowStripes="1" showColumnStripes="0"/>
</x:table>
</file>

<file path=xl/tables/table2.xml><?xml version="1.0" encoding="utf-8"?>
<x:table xmlns:x="http://schemas.openxmlformats.org/spreadsheetml/2006/main" id="2" name="QuarantinedQuestions" displayName="QuarantinedQuestions" ref="A1:O265" headerRowCount="1" totalsRowCount="0" totalsRowShown="0">
  <x:tableColumns count="15">
    <x:tableColumn id="1" name="Source_Row"/>
    <x:tableColumn id="2" name="Subject"/>
    <x:tableColumn id="3" name="Suggested_Difficulty"/>
    <x:tableColumn id="4" name="Topic"/>
    <x:tableColumn id="5" name="Question"/>
    <x:tableColumn id="6" name="Option_A"/>
    <x:tableColumn id="7" name="Option_B"/>
    <x:tableColumn id="8" name="Option_C"/>
    <x:tableColumn id="9" name="Option_D"/>
    <x:tableColumn id="10" name="Stored_Answer"/>
    <x:tableColumn id="11" name="Explanation"/>
    <x:tableColumn id="12" name="Source_Series"/>
    <x:tableColumn id="13" name="Original_Subject"/>
    <x:tableColumn id="14" name="Quarantine_Reasons"/>
    <x:tableColumn id="15" name="Action_Required"/>
  </x:tableColumns>
  <x:tableStyleInfo name="TableStyleMedium10"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6e4569db584faa" /></Relationships>
</file>

<file path=xl/worksheets/_rels/sheet3.xml.rels>&#65279;<?xml version="1.0" encoding="utf-8"?><Relationships xmlns="http://schemas.openxmlformats.org/package/2006/relationships"><Relationship Type="http://schemas.openxmlformats.org/officeDocument/2006/relationships/table" Target="/xl/tables/table2.xml" Id="Rd80bf77ca614452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3" hidden="0" customWidth="1"/>
    <x:col min="4" max="4" width="22" hidden="0" customWidth="1"/>
    <x:col min="5" max="5" width="12" hidden="0" customWidth="1"/>
    <x:col min="6" max="6" width="3" hidden="0" customWidth="1"/>
    <x:col min="7" max="7" width="16" hidden="0" customWidth="1"/>
    <x:col min="8" max="8" width="12" hidden="0" customWidth="1"/>
    <x:col min="9" max="9" width="12" hidden="0" customWidth="1"/>
    <x:col min="10" max="10" width="12" hidden="0" customWidth="1"/>
  </x:cols>
  <x:sheetData>
    <x:row r="1" ht="32" customHeight="1">
      <x:c r="A1" s="4" t="str">
        <x:v>MODULE B — QUESTIONS &amp; ANSWERS</x:v>
      </x:c>
      <x:c r="B1" s="4"/>
      <x:c r="C1" s="4"/>
      <x:c r="D1" s="4"/>
      <x:c r="E1" s="4"/>
      <x:c r="F1" s="4"/>
      <x:c r="G1" s="4"/>
      <x:c r="H1" s="4"/>
      <x:c r="I1" s="4"/>
      <x:c r="J1" s="4"/>
    </x:row>
    <x:row r="2" ht="24" customHeight="1">
      <x:c r="A2" s="3" t="str">
        <x:v>Question-bank screening for Mathematics, Science and Computer · Easy → Medium → Hard</x:v>
      </x:c>
      <x:c r="B2" s="3"/>
      <x:c r="C2" s="3"/>
      <x:c r="D2" s="3"/>
      <x:c r="E2" s="3"/>
      <x:c r="F2" s="3"/>
      <x:c r="G2" s="3"/>
      <x:c r="H2" s="3"/>
      <x:c r="I2" s="3"/>
      <x:c r="J2" s="3"/>
    </x:row>
    <x:row r="4">
      <x:c r="A4" s="12" t="str">
        <x:v>Candidate records</x:v>
      </x:c>
      <x:c r="B4" s="18" t="n">
        <x:f>COUNTA('Candidate Bank'!A2:A600)</x:f>
        <x:v>313</x:v>
      </x:c>
      <x:c r="D4" s="12" t="str">
        <x:v>Mathematics</x:v>
      </x:c>
      <x:c r="E4" s="18" t="n">
        <x:f>COUNTIF('Candidate Bank'!C2:C600,"Mathematics")</x:f>
        <x:v>108</x:v>
      </x:c>
      <x:c r="G4" s="12" t="str">
        <x:v>Easy</x:v>
      </x:c>
      <x:c r="H4" s="18" t="n">
        <x:f>COUNTIF('Candidate Bank'!D2:D600,"Easy")</x:f>
        <x:v>118</x:v>
      </x:c>
    </x:row>
    <x:row r="5">
      <x:c r="A5" s="13" t="str">
        <x:v>Quarantined records</x:v>
      </x:c>
      <x:c r="B5" s="19" t="n">
        <x:f>COUNTA('Quarantine'!A2:A600)</x:f>
        <x:v>264</x:v>
      </x:c>
      <x:c r="D5" s="13" t="str">
        <x:v>Science</x:v>
      </x:c>
      <x:c r="E5" s="19" t="n">
        <x:f>COUNTIF('Candidate Bank'!C2:C600,"Science")</x:f>
        <x:v>155</x:v>
      </x:c>
      <x:c r="G5" s="13" t="str">
        <x:v>Medium</x:v>
      </x:c>
      <x:c r="H5" s="19" t="n">
        <x:f>COUNTIF('Candidate Bank'!D2:D600,"Medium")</x:f>
        <x:v>126</x:v>
      </x:c>
    </x:row>
    <x:row r="6">
      <x:c r="A6" s="14" t="str">
        <x:v>Source records</x:v>
      </x:c>
      <x:c r="B6" s="20" t="n">
        <x:f>B4+B5</x:f>
        <x:v>577</x:v>
      </x:c>
      <x:c r="D6" s="14" t="str">
        <x:v>Computer</x:v>
      </x:c>
      <x:c r="E6" s="20" t="n">
        <x:f>COUNTIF('Candidate Bank'!C2:C600,"Computer")</x:f>
        <x:v>50</x:v>
      </x:c>
      <x:c r="G6" s="14" t="str">
        <x:v>Hard</x:v>
      </x:c>
      <x:c r="H6" s="20" t="n">
        <x:f>COUNTIF('Candidate Bank'!D2:D600,"Hard")</x:f>
        <x:v>69</x:v>
      </x:c>
    </x:row>
    <x:row r="8">
      <x:c r="A8" s="23" t="str">
        <x:v>READINESS DECISION</x:v>
      </x:c>
      <x:c r="B8" s="23"/>
      <x:c r="C8" s="23"/>
      <x:c r="D8" s="23"/>
      <x:c r="E8" s="23"/>
      <x:c r="F8" s="23"/>
      <x:c r="G8" s="23"/>
      <x:c r="H8" s="23"/>
      <x:c r="I8" s="23"/>
      <x:c r="J8" s="23"/>
    </x:row>
    <x:row r="9">
      <x:c r="A9" s="42" t="str">
        <x:v>Candidate Bank means the record passed structural and known-defect screening. It is not publication-ready until its explanation is rewritten and the answer is independently fact-checked. Quarantined rows must not enter Module B.</x:v>
      </x:c>
      <x:c r="B9" s="43"/>
      <x:c r="C9" s="43"/>
      <x:c r="D9" s="43"/>
      <x:c r="E9" s="43"/>
      <x:c r="F9" s="43"/>
      <x:c r="G9" s="43"/>
      <x:c r="H9" s="43"/>
      <x:c r="I9" s="43"/>
      <x:c r="J9" s="44"/>
    </x:row>
    <x:row r="10">
      <x:c r="A10" s="45"/>
      <x:c r="B10" s="46"/>
      <x:c r="C10" s="46"/>
      <x:c r="D10" s="46"/>
      <x:c r="E10" s="46"/>
      <x:c r="F10" s="46"/>
      <x:c r="G10" s="46"/>
      <x:c r="H10" s="46"/>
      <x:c r="I10" s="46"/>
      <x:c r="J10" s="47"/>
    </x:row>
    <x:row r="11">
      <x:c r="A11" s="48"/>
      <x:c r="B11" s="49"/>
      <x:c r="C11" s="49"/>
      <x:c r="D11" s="49"/>
      <x:c r="E11" s="49"/>
      <x:c r="F11" s="49"/>
      <x:c r="G11" s="49"/>
      <x:c r="H11" s="49"/>
      <x:c r="I11" s="49"/>
      <x:c r="J11" s="50"/>
    </x:row>
    <x:row r="13">
      <x:c r="A13" s="51" t="str">
        <x:v>Decision</x:v>
      </x:c>
      <x:c r="B13" s="51" t="str">
        <x:v>Approved direction</x:v>
      </x:c>
    </x:row>
    <x:row r="14">
      <x:c r="A14" s="52" t="str">
        <x:v>Audience</x:v>
      </x:c>
      <x:c r="B14" s="53" t="str">
        <x:v>Classes VI–VIII</x:v>
      </x:c>
    </x:row>
    <x:row r="15">
      <x:c r="A15" s="54" t="str">
        <x:v>Subjects</x:v>
      </x:c>
      <x:c r="B15" s="55" t="str">
        <x:v>Mathematics · Science · Computer</x:v>
      </x:c>
    </x:row>
    <x:row r="16">
      <x:c r="A16" s="54" t="str">
        <x:v>Difficulty</x:v>
      </x:c>
      <x:c r="B16" s="55" t="str">
        <x:v>Easy → Medium → Hard</x:v>
      </x:c>
    </x:row>
    <x:row r="17">
      <x:c r="A17" s="56" t="str">
        <x:v>Visual questions</x:v>
      </x:c>
      <x:c r="B17" s="57" t="str">
        <x:v>Excluded until visuals are added</x:v>
      </x:c>
    </x:row>
  </x:sheetData>
  <x:mergeCells>
    <x:mergeCell ref="A1:J1"/>
    <x:mergeCell ref="A2:J2"/>
    <x:mergeCell ref="A8:J8"/>
    <x:mergeCell ref="A9:J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1" hidden="0" customWidth="1"/>
    <x:col min="3" max="3" width="15" hidden="0" customWidth="1"/>
    <x:col min="4" max="4" width="12" hidden="0" customWidth="1"/>
    <x:col min="5" max="5" width="28" hidden="0" customWidth="1"/>
    <x:col min="6" max="6" width="52" hidden="0" customWidth="1"/>
    <x:col min="7" max="7" width="30" hidden="0" customWidth="1"/>
    <x:col min="8" max="8" width="30" hidden="0" customWidth="1"/>
    <x:col min="9" max="9" width="30" hidden="0" customWidth="1"/>
    <x:col min="10" max="10" width="30" hidden="0" customWidth="1"/>
    <x:col min="11" max="11" width="14" hidden="0" customWidth="1"/>
    <x:col min="12" max="12" width="30" hidden="0" customWidth="1"/>
    <x:col min="13" max="13" width="48" hidden="0" customWidth="1"/>
    <x:col min="14" max="14" width="15" hidden="0" customWidth="1"/>
    <x:col min="15" max="15" width="22" hidden="0" customWidth="1"/>
    <x:col min="16" max="16" width="42" hidden="0" customWidth="1"/>
  </x:cols>
  <x:sheetData>
    <x:row r="1">
      <x:c r="A1" s="58" t="str">
        <x:v>Question_ID</x:v>
      </x:c>
      <x:c r="B1" s="61" t="str">
        <x:v>Source_Row</x:v>
      </x:c>
      <x:c r="C1" s="58" t="str">
        <x:v>Subject</x:v>
      </x:c>
      <x:c r="D1" s="58" t="str">
        <x:v>Difficulty</x:v>
      </x:c>
      <x:c r="E1" s="58" t="str">
        <x:v>Topic</x:v>
      </x:c>
      <x:c r="F1" s="58" t="str">
        <x:v>Question</x:v>
      </x:c>
      <x:c r="G1" s="58" t="str">
        <x:v>Option_A</x:v>
      </x:c>
      <x:c r="H1" s="58" t="str">
        <x:v>Option_B</x:v>
      </x:c>
      <x:c r="I1" s="58" t="str">
        <x:v>Option_C</x:v>
      </x:c>
      <x:c r="J1" s="58" t="str">
        <x:v>Option_D</x:v>
      </x:c>
      <x:c r="K1" s="58" t="str">
        <x:v>Correct_Option</x:v>
      </x:c>
      <x:c r="L1" s="58" t="str">
        <x:v>Correct_Answer</x:v>
      </x:c>
      <x:c r="M1" s="58" t="str">
        <x:v>Explanation</x:v>
      </x:c>
      <x:c r="N1" s="58" t="str">
        <x:v>Source_Series</x:v>
      </x:c>
      <x:c r="O1" s="58" t="str">
        <x:v>Original_Subject</x:v>
      </x:c>
      <x:c r="P1" s="58" t="str">
        <x:v>Editorial_Note</x:v>
      </x:c>
    </x:row>
    <x:row r="2">
      <x:c r="A2" s="60" t="str">
        <x:v>QB-0002</x:v>
      </x:c>
      <x:c r="B2" s="62" t="n">
        <x:v>2</x:v>
      </x:c>
      <x:c r="C2" s="60" t="str">
        <x:v>Computer</x:v>
      </x:c>
      <x:c r="D2" s="60" t="str">
        <x:v>Easy</x:v>
      </x:c>
      <x:c r="E2" s="60" t="str">
        <x:v>Computing Fundamentals</x:v>
      </x:c>
      <x:c r="F2" s="60" t="str">
        <x:v>_________ is defined as the percentage of correct predictions out of all the observations.</x:v>
      </x:c>
      <x:c r="G2" s="60" t="str">
        <x:v>Precision</x:v>
      </x:c>
      <x:c r="H2" s="60" t="str">
        <x:v>Accuracy</x:v>
      </x:c>
      <x:c r="I2" s="60" t="str">
        <x:v>Recall</x:v>
      </x:c>
      <x:c r="J2" s="60" t="str">
        <x:v>F1</x:v>
      </x:c>
      <x:c r="K2" s="60" t="str">
        <x:v>B</x:v>
      </x:c>
      <x:c r="L2" s="60" t="str">
        <x:v>Accuracy</x:v>
      </x:c>
      <x:c r="M2" s="60" t="str">
        <x:v>For the AI concept “is defined as the percentage of correct”, the correct choice is Accuracy.</x:v>
      </x:c>
      <x:c r="N2" s="60" t="str">
        <x:v>EFGH/S</x:v>
      </x:c>
      <x:c r="O2" s="60" t="str">
        <x:v>Artificial Intelligence</x:v>
      </x:c>
      <x:c r="P2" s="60" t="str">
        <x:v>Automated structural screening passed. Rewrite the explanation to teach the reasoning before publication. Mapped from Artificial Intelligence.</x:v>
      </x:c>
    </x:row>
    <x:row r="3">
      <x:c r="A3" s="60" t="str">
        <x:v>QB-0003</x:v>
      </x:c>
      <x:c r="B3" s="62" t="n">
        <x:v>3</x:v>
      </x:c>
      <x:c r="C3" s="60" t="str">
        <x:v>Computer</x:v>
      </x:c>
      <x:c r="D3" s="60" t="str">
        <x:v>Medium</x:v>
      </x:c>
      <x:c r="E3" s="60" t="str">
        <x:v>Artificial Intelligence</x:v>
      </x:c>
      <x:c r="F3" s="60" t="str">
        <x:v>__________ is the best example of Robotics and AI (Artificial Intelligence) working together.</x:v>
      </x:c>
      <x:c r="G3" s="60" t="str">
        <x:v>Telephones</x:v>
      </x:c>
      <x:c r="H3" s="60" t="str">
        <x:v>Self-driving cars</x:v>
      </x:c>
      <x:c r="I3" s="60" t="str">
        <x:v>Bulb</x:v>
      </x:c>
      <x:c r="J3" s="60" t="str">
        <x:v>Printing Machine</x:v>
      </x:c>
      <x:c r="K3" s="60" t="str">
        <x:v>B</x:v>
      </x:c>
      <x:c r="L3" s="60" t="str">
        <x:v>Self-driving cars</x:v>
      </x:c>
      <x:c r="M3" s="60" t="str">
        <x:v>For the AI concept “is the best example of Robotics and”, the correct choice is Self-driving cars.</x:v>
      </x:c>
      <x:c r="N3" s="60" t="str">
        <x:v>EFGH/S</x:v>
      </x:c>
      <x:c r="O3" s="60" t="str">
        <x:v>Artificial Intelligence</x:v>
      </x:c>
      <x:c r="P3" s="60" t="str">
        <x:v>Automated structural screening passed. Rewrite the explanation to teach the reasoning before publication. Mapped from Artificial Intelligence.</x:v>
      </x:c>
    </x:row>
    <x:row r="4">
      <x:c r="A4" s="60" t="str">
        <x:v>QB-0004</x:v>
      </x:c>
      <x:c r="B4" s="62" t="n">
        <x:v>4</x:v>
      </x:c>
      <x:c r="C4" s="60" t="str">
        <x:v>Computer</x:v>
      </x:c>
      <x:c r="D4" s="60" t="str">
        <x:v>Easy</x:v>
      </x:c>
      <x:c r="E4" s="60" t="str">
        <x:v>Computing Fundamentals</x:v>
      </x:c>
      <x:c r="F4" s="60" t="str">
        <x:v>Mani has her final exam coming up. She creates a study schedule and sticks to it, balancing her study time with short breaks. Which self-management skill is she demonstrating?</x:v>
      </x:c>
      <x:c r="G4" s="60" t="str">
        <x:v>Emotional Intelligence</x:v>
      </x:c>
      <x:c r="H4" s="60" t="str">
        <x:v>Managing Emotions</x:v>
      </x:c>
      <x:c r="I4" s="60" t="str">
        <x:v>Stress management</x:v>
      </x:c>
      <x:c r="J4" s="60" t="str">
        <x:v>Time management</x:v>
      </x:c>
      <x:c r="K4" s="60" t="str">
        <x:v>D</x:v>
      </x:c>
      <x:c r="L4" s="60" t="str">
        <x:v>Time management</x:v>
      </x:c>
      <x:c r="M4" s="60" t="str">
        <x:v>For the AI concept “Mani has her final exam coming up”, the correct choice is Time management.</x:v>
      </x:c>
      <x:c r="N4" s="60" t="str">
        <x:v>EFGH/S</x:v>
      </x:c>
      <x:c r="O4" s="60" t="str">
        <x:v>Artificial Intelligence</x:v>
      </x:c>
      <x:c r="P4" s="60" t="str">
        <x:v>Automated structural screening passed. Rewrite the explanation to teach the reasoning before publication. Mapped from Artificial Intelligence.</x:v>
      </x:c>
    </x:row>
    <x:row r="5">
      <x:c r="A5" s="60" t="str">
        <x:v>QB-0005</x:v>
      </x:c>
      <x:c r="B5" s="62" t="n">
        <x:v>5</x:v>
      </x:c>
      <x:c r="C5" s="60" t="str">
        <x:v>Computer</x:v>
      </x:c>
      <x:c r="D5" s="60" t="str">
        <x:v>Easy</x:v>
      </x:c>
      <x:c r="E5" s="60" t="str">
        <x:v>Computing Fundamentals</x:v>
      </x:c>
      <x:c r="F5" s="60" t="str">
        <x:v>___________ enables computers to mimic human intelligence.</x:v>
      </x:c>
      <x:c r="G5" s="60" t="str">
        <x:v>Cloud Computing</x:v>
      </x:c>
      <x:c r="H5" s="60" t="str">
        <x:v>Artificial Intelligence</x:v>
      </x:c>
      <x:c r="I5" s="60" t="str">
        <x:v>Web Development</x:v>
      </x:c>
      <x:c r="J5" s="60" t="str">
        <x:v>Data Entry</x:v>
      </x:c>
      <x:c r="K5" s="60" t="str">
        <x:v>B</x:v>
      </x:c>
      <x:c r="L5" s="60" t="str">
        <x:v>Artificial Intelligence</x:v>
      </x:c>
      <x:c r="M5" s="60" t="str">
        <x:v>For the AI concept “enables computers to mimic human intelligence”, the correct choice is Artificial Intelligence.</x:v>
      </x:c>
      <x:c r="N5" s="60" t="str">
        <x:v>EFGH/S</x:v>
      </x:c>
      <x:c r="O5" s="60" t="str">
        <x:v>Artificial Intelligence</x:v>
      </x:c>
      <x:c r="P5" s="60" t="str">
        <x:v>Automated structural screening passed. Rewrite the explanation to teach the reasoning before publication. Mapped from Artificial Intelligence.</x:v>
      </x:c>
    </x:row>
    <x:row r="6">
      <x:c r="A6" s="60" t="str">
        <x:v>QB-0006</x:v>
      </x:c>
      <x:c r="B6" s="62" t="n">
        <x:v>6</x:v>
      </x:c>
      <x:c r="C6" s="60" t="str">
        <x:v>Computer</x:v>
      </x:c>
      <x:c r="D6" s="60" t="str">
        <x:v>Easy</x:v>
      </x:c>
      <x:c r="E6" s="60" t="str">
        <x:v>Computing Fundamentals</x:v>
      </x:c>
      <x:c r="F6" s="60" t="str">
        <x:v>Which of the following is the second stage of an AI Project Cycle?</x:v>
      </x:c>
      <x:c r="G6" s="60" t="str">
        <x:v>Problem Scoping</x:v>
      </x:c>
      <x:c r="H6" s="60" t="str">
        <x:v>Evaluation</x:v>
      </x:c>
      <x:c r="I6" s="60" t="str">
        <x:v>Data Acquisition</x:v>
      </x:c>
      <x:c r="J6" s="60" t="str">
        <x:v>Data Exploration</x:v>
      </x:c>
      <x:c r="K6" s="60" t="str">
        <x:v>C</x:v>
      </x:c>
      <x:c r="L6" s="60" t="str">
        <x:v>Data Acquisition</x:v>
      </x:c>
      <x:c r="M6" s="60" t="str">
        <x:v>For the AI concept “Which of the following is the second”, the correct choice is Data Acquisition.</x:v>
      </x:c>
      <x:c r="N6" s="60" t="str">
        <x:v>EFGH/S</x:v>
      </x:c>
      <x:c r="O6" s="60" t="str">
        <x:v>Artificial Intelligence</x:v>
      </x:c>
      <x:c r="P6" s="60" t="str">
        <x:v>Automated structural screening passed. Rewrite the explanation to teach the reasoning before publication. Mapped from Artificial Intelligence.</x:v>
      </x:c>
    </x:row>
    <x:row r="7">
      <x:c r="A7" s="60" t="str">
        <x:v>QB-0007</x:v>
      </x:c>
      <x:c r="B7" s="62" t="n">
        <x:v>7</x:v>
      </x:c>
      <x:c r="C7" s="60" t="str">
        <x:v>Computer</x:v>
      </x:c>
      <x:c r="D7" s="60" t="str">
        <x:v>Easy</x:v>
      </x:c>
      <x:c r="E7" s="60" t="str">
        <x:v>Computing Fundamentals</x:v>
      </x:c>
      <x:c r="F7" s="60" t="str">
        <x:v>What does the abbreviation “SMART” commonly stand for in the context of goal-setting?</x:v>
      </x:c>
      <x:c r="G7" s="60" t="str">
        <x:v>Superior, Motivated, Analytical, Resourceful, Timely</x:v>
      </x:c>
      <x:c r="H7" s="60" t="str">
        <x:v>Specific, Measurable, Achievable, Realistic, Time-bound</x:v>
      </x:c>
      <x:c r="I7" s="60" t="str">
        <x:v>Speedy, Manageable, Accurate, Realistic, Tangible</x:v>
      </x:c>
      <x:c r="J7" s="60" t="str">
        <x:v>Successful, Methodical, Adaptable, Reliable, Thorough</x:v>
      </x:c>
      <x:c r="K7" s="60" t="str">
        <x:v>B</x:v>
      </x:c>
      <x:c r="L7" s="60" t="str">
        <x:v>Specific, Measurable, Achievable, Realistic, Time-bound</x:v>
      </x:c>
      <x:c r="M7" s="60" t="str">
        <x:v>For the AI concept “What does the abbreviation SMART commonly stand”, the correct choice is Specific, Measurable, Achievable, Realistic, Time-bound.</x:v>
      </x:c>
      <x:c r="N7" s="60" t="str">
        <x:v>EFGH/S</x:v>
      </x:c>
      <x:c r="O7" s="60" t="str">
        <x:v>Artificial Intelligence</x:v>
      </x:c>
      <x:c r="P7" s="60" t="str">
        <x:v>Automated structural screening passed. Rewrite the explanation to teach the reasoning before publication. Mapped from Artificial Intelligence.</x:v>
      </x:c>
    </x:row>
    <x:row r="8">
      <x:c r="A8" s="60" t="str">
        <x:v>QB-0008</x:v>
      </x:c>
      <x:c r="B8" s="62" t="n">
        <x:v>8</x:v>
      </x:c>
      <x:c r="C8" s="60" t="str">
        <x:v>Computer</x:v>
      </x:c>
      <x:c r="D8" s="60" t="str">
        <x:v>Medium</x:v>
      </x:c>
      <x:c r="E8" s="60" t="str">
        <x:v>Artificial Intelligence</x:v>
      </x:c>
      <x:c r="F8" s="60" t="str">
        <x:v>For Data Science, data is typically collected in tabular form and stored in various formats. Which of the following is commonly used for storing such tabular data sets?</x:v>
      </x:c>
      <x:c r="G8" s="60" t="str">
        <x:v>SQL databases</x:v>
      </x:c>
      <x:c r="H8" s="60" t="str">
        <x:v>HTML files</x:v>
      </x:c>
      <x:c r="I8" s="60" t="str">
        <x:v>JSON</x:v>
      </x:c>
      <x:c r="J8" s="60" t="str">
        <x:v>NumPy</x:v>
      </x:c>
      <x:c r="K8" s="60" t="str">
        <x:v>A</x:v>
      </x:c>
      <x:c r="L8" s="60" t="str">
        <x:v>SQL databases</x:v>
      </x:c>
      <x:c r="M8" s="60" t="str">
        <x:v>For the AI concept “For Data Science data is typically collected”, the correct choice is SQL databases.</x:v>
      </x:c>
      <x:c r="N8" s="60" t="str">
        <x:v>EFGH/S</x:v>
      </x:c>
      <x:c r="O8" s="60" t="str">
        <x:v>Artificial Intelligence</x:v>
      </x:c>
      <x:c r="P8" s="60" t="str">
        <x:v>Automated structural screening passed. Rewrite the explanation to teach the reasoning before publication. Mapped from Artificial Intelligence.</x:v>
      </x:c>
    </x:row>
    <x:row r="9">
      <x:c r="A9" s="60" t="str">
        <x:v>QB-0010</x:v>
      </x:c>
      <x:c r="B9" s="62" t="n">
        <x:v>10</x:v>
      </x:c>
      <x:c r="C9" s="60" t="str">
        <x:v>Computer</x:v>
      </x:c>
      <x:c r="D9" s="60" t="str">
        <x:v>Easy</x:v>
      </x:c>
      <x:c r="E9" s="60" t="str">
        <x:v>Computing Fundamentals</x:v>
      </x:c>
      <x:c r="F9" s="60" t="str">
        <x:v>She reads the book, which of the following is a stop-word that should be removed during text preprocessing?</x:v>
      </x:c>
      <x:c r="G9" s="60" t="str">
        <x:v>She</x:v>
      </x:c>
      <x:c r="H9" s="60" t="str">
        <x:v>reads</x:v>
      </x:c>
      <x:c r="I9" s="60" t="str">
        <x:v>the</x:v>
      </x:c>
      <x:c r="J9" s="60" t="str">
        <x:v>book</x:v>
      </x:c>
      <x:c r="K9" s="60" t="str">
        <x:v>C</x:v>
      </x:c>
      <x:c r="L9" s="60" t="str">
        <x:v>the</x:v>
      </x:c>
      <x:c r="M9" s="60" t="str">
        <x:v>For the AI concept “She reads the book which of the”, the correct choice is the.</x:v>
      </x:c>
      <x:c r="N9" s="60" t="str">
        <x:v>EFGH/S</x:v>
      </x:c>
      <x:c r="O9" s="60" t="str">
        <x:v>Artificial Intelligence</x:v>
      </x:c>
      <x:c r="P9" s="60" t="str">
        <x:v>Automated structural screening passed. Rewrite the explanation to teach the reasoning before publication. Mapped from Artificial Intelligence.</x:v>
      </x:c>
    </x:row>
    <x:row r="10">
      <x:c r="A10" s="60" t="str">
        <x:v>QB-0012</x:v>
      </x:c>
      <x:c r="B10" s="62" t="n">
        <x:v>12</x:v>
      </x:c>
      <x:c r="C10" s="60" t="str">
        <x:v>Computer</x:v>
      </x:c>
      <x:c r="D10" s="60" t="str">
        <x:v>Easy</x:v>
      </x:c>
      <x:c r="E10" s="60" t="str">
        <x:v>Computing Fundamentals</x:v>
      </x:c>
      <x:c r="F10" s="60" t="str">
        <x:v>Which AI application involves analysing large sets of data to extract meaningful insights for decision-making?</x:v>
      </x:c>
      <x:c r="G10" s="60" t="str">
        <x:v>Computer Vision</x:v>
      </x:c>
      <x:c r="H10" s="60" t="str">
        <x:v>Robotics</x:v>
      </x:c>
      <x:c r="I10" s="60" t="str">
        <x:v>Natural Language Processing (NLP)</x:v>
      </x:c>
      <x:c r="J10" s="60" t="str">
        <x:v>Data Science</x:v>
      </x:c>
      <x:c r="K10" s="60" t="str">
        <x:v>D</x:v>
      </x:c>
      <x:c r="L10" s="60" t="str">
        <x:v>Data Science</x:v>
      </x:c>
      <x:c r="M10" s="60" t="str">
        <x:v>For the AI concept “Which AI application involves analysing large sets”, the correct choice is Data Science.</x:v>
      </x:c>
      <x:c r="N10" s="60" t="str">
        <x:v>EFGH/S</x:v>
      </x:c>
      <x:c r="O10" s="60" t="str">
        <x:v>Artificial Intelligence</x:v>
      </x:c>
      <x:c r="P10" s="60" t="str">
        <x:v>Automated structural screening passed. Rewrite the explanation to teach the reasoning before publication. Mapped from Artificial Intelligence.</x:v>
      </x:c>
    </x:row>
    <x:row r="11">
      <x:c r="A11" s="60" t="str">
        <x:v>QB-0014</x:v>
      </x:c>
      <x:c r="B11" s="62" t="n">
        <x:v>14</x:v>
      </x:c>
      <x:c r="C11" s="60" t="str">
        <x:v>Computer</x:v>
      </x:c>
      <x:c r="D11" s="60" t="str">
        <x:v>Easy</x:v>
      </x:c>
      <x:c r="E11" s="60" t="str">
        <x:v>Computing Fundamentals</x:v>
      </x:c>
      <x:c r="F11" s="60" t="str">
        <x:v>Which file extension is commonly used for image files?</x:v>
      </x:c>
      <x:c r="G11" s="60" t="str">
        <x:v>.txt</x:v>
      </x:c>
      <x:c r="H11" s="60" t="str">
        <x:v>.exe</x:v>
      </x:c>
      <x:c r="I11" s="60" t="str">
        <x:v>.jpg</x:v>
      </x:c>
      <x:c r="J11" s="60" t="str">
        <x:v>.mp3</x:v>
      </x:c>
      <x:c r="K11" s="60" t="str">
        <x:v>C</x:v>
      </x:c>
      <x:c r="L11" s="60" t="str">
        <x:v>.jpg</x:v>
      </x:c>
      <x:c r="M11" s="60" t="str">
        <x:v>For the AI concept “Which file extension is commonly used for”, the correct choice is .jpg.</x:v>
      </x:c>
      <x:c r="N11" s="60" t="str">
        <x:v>EFGH/S</x:v>
      </x:c>
      <x:c r="O11" s="60" t="str">
        <x:v>Artificial Intelligence</x:v>
      </x:c>
      <x:c r="P11" s="60" t="str">
        <x:v>Automated structural screening passed. Rewrite the explanation to teach the reasoning before publication. Mapped from Artificial Intelligence.</x:v>
      </x:c>
    </x:row>
    <x:row r="12">
      <x:c r="A12" s="60" t="str">
        <x:v>QB-0015</x:v>
      </x:c>
      <x:c r="B12" s="62" t="n">
        <x:v>15</x:v>
      </x:c>
      <x:c r="C12" s="60" t="str">
        <x:v>Computer</x:v>
      </x:c>
      <x:c r="D12" s="60" t="str">
        <x:v>Easy</x:v>
      </x:c>
      <x:c r="E12" s="60" t="str">
        <x:v>Computing Fundamentals</x:v>
      </x:c>
      <x:c r="F12" s="60" t="str">
        <x:v>Which of the following is a common misconception about entrepreneurship?</x:v>
      </x:c>
      <x:c r="G12" s="60" t="str">
        <x:v>Entrepreneurs are not always successful on their first attempt.</x:v>
      </x:c>
      <x:c r="H12" s="60" t="str">
        <x:v>Its not required to have extensive industry experience to become entrepreneurs.</x:v>
      </x:c>
      <x:c r="I12" s="60" t="str">
        <x:v>Starting a business requires a large amount of initial capital.</x:v>
      </x:c>
      <x:c r="J12" s="60" t="str">
        <x:v>Entrepreneurs may need to collaborate with others.</x:v>
      </x:c>
      <x:c r="K12" s="60" t="str">
        <x:v>C</x:v>
      </x:c>
      <x:c r="L12" s="60" t="str">
        <x:v>Starting a business requires a large amount of initial capital.</x:v>
      </x:c>
      <x:c r="M12" s="60" t="str">
        <x:v>For the AI concept “Which of the following is a common”, the correct choice is Starting a business requires a large amount of initial capital..</x:v>
      </x:c>
      <x:c r="N12" s="60" t="str">
        <x:v>EFGH/S</x:v>
      </x:c>
      <x:c r="O12" s="60" t="str">
        <x:v>Artificial Intelligence</x:v>
      </x:c>
      <x:c r="P12" s="60" t="str">
        <x:v>Automated structural screening passed. Rewrite the explanation to teach the reasoning before publication. Mapped from Artificial Intelligence.</x:v>
      </x:c>
    </x:row>
    <x:row r="13">
      <x:c r="A13" s="60" t="str">
        <x:v>QB-0016</x:v>
      </x:c>
      <x:c r="B13" s="62" t="n">
        <x:v>16</x:v>
      </x:c>
      <x:c r="C13" s="60" t="str">
        <x:v>Computer</x:v>
      </x:c>
      <x:c r="D13" s="60" t="str">
        <x:v>Easy</x:v>
      </x:c>
      <x:c r="E13" s="60" t="str">
        <x:v>Computing Fundamentals</x:v>
      </x:c>
      <x:c r="F13" s="60" t="str">
        <x:v>Which of the following is an example of verbal communication?</x:v>
      </x:c>
      <x:c r="G13" s="60" t="str">
        <x:v>Gestures</x:v>
      </x:c>
      <x:c r="H13" s="60" t="str">
        <x:v>Facial expressions</x:v>
      </x:c>
      <x:c r="I13" s="60" t="str">
        <x:v>Written letters</x:v>
      </x:c>
      <x:c r="J13" s="60" t="str">
        <x:v>Posture</x:v>
      </x:c>
      <x:c r="K13" s="60" t="str">
        <x:v>C</x:v>
      </x:c>
      <x:c r="L13" s="60" t="str">
        <x:v>Written letters</x:v>
      </x:c>
      <x:c r="M13" s="60" t="str">
        <x:v>For the AI concept “Which of the following is an example”, the correct choice is Written letters.</x:v>
      </x:c>
      <x:c r="N13" s="60" t="str">
        <x:v>EFGH/S</x:v>
      </x:c>
      <x:c r="O13" s="60" t="str">
        <x:v>Artificial Intelligence</x:v>
      </x:c>
      <x:c r="P13" s="60" t="str">
        <x:v>Automated structural screening passed. Rewrite the explanation to teach the reasoning before publication. Mapped from Artificial Intelligence.</x:v>
      </x:c>
    </x:row>
    <x:row r="14">
      <x:c r="A14" s="60" t="str">
        <x:v>QB-0017</x:v>
      </x:c>
      <x:c r="B14" s="62" t="n">
        <x:v>17</x:v>
      </x:c>
      <x:c r="C14" s="60" t="str">
        <x:v>Computer</x:v>
      </x:c>
      <x:c r="D14" s="60" t="str">
        <x:v>Medium</x:v>
      </x:c>
      <x:c r="E14" s="60" t="str">
        <x:v>Artificial Intelligence</x:v>
      </x:c>
      <x:c r="F14" s="60" t="str">
        <x:v>A corpus contains 4 documents in which the words such as ‘an, is, the’ were appearing frequently. Identify the term that is used for such words.</x:v>
      </x:c>
      <x:c r="G14" s="60" t="str">
        <x:v>Stop word</x:v>
      </x:c>
      <x:c r="H14" s="60" t="str">
        <x:v>Rare word</x:v>
      </x:c>
      <x:c r="I14" s="60" t="str">
        <x:v>Missing word</x:v>
      </x:c>
      <x:c r="J14" s="60" t="str">
        <x:v>Removable word</x:v>
      </x:c>
      <x:c r="K14" s="60" t="str">
        <x:v>A</x:v>
      </x:c>
      <x:c r="L14" s="60" t="str">
        <x:v>Stop word</x:v>
      </x:c>
      <x:c r="M14" s="60" t="str">
        <x:v>For the AI concept “A corpus contains 4 documents in which”, the correct choice is Stop word.</x:v>
      </x:c>
      <x:c r="N14" s="60" t="str">
        <x:v>GE1FH</x:v>
      </x:c>
      <x:c r="O14" s="60" t="str">
        <x:v>Artificial Intelligence</x:v>
      </x:c>
      <x:c r="P14" s="60" t="str">
        <x:v>Automated structural screening passed. Rewrite the explanation to teach the reasoning before publication. Mapped from Artificial Intelligence.</x:v>
      </x:c>
    </x:row>
    <x:row r="15">
      <x:c r="A15" s="60" t="str">
        <x:v>QB-0018</x:v>
      </x:c>
      <x:c r="B15" s="62" t="n">
        <x:v>18</x:v>
      </x:c>
      <x:c r="C15" s="60" t="str">
        <x:v>Computer</x:v>
      </x:c>
      <x:c r="D15" s="60" t="str">
        <x:v>Medium</x:v>
      </x:c>
      <x:c r="E15" s="60" t="str">
        <x:v>Artificial Intelligence</x:v>
      </x:c>
      <x:c r="F15" s="60" t="str">
        <x:v>In Computer Vision, which of the following tasks is used for single object?</x:v>
      </x:c>
      <x:c r="G15" s="60" t="str">
        <x:v>Object Detection</x:v>
      </x:c>
      <x:c r="H15" s="60" t="str">
        <x:v>Classification + Localization</x:v>
      </x:c>
      <x:c r="I15" s="60" t="str">
        <x:v>Instance Segmentation</x:v>
      </x:c>
      <x:c r="J15" s="60" t="str">
        <x:v>Non - Localization</x:v>
      </x:c>
      <x:c r="K15" s="60" t="str">
        <x:v>B</x:v>
      </x:c>
      <x:c r="L15" s="60" t="str">
        <x:v>Classification + Localization</x:v>
      </x:c>
      <x:c r="M15" s="60" t="str">
        <x:v>For the AI concept “In Computer Vision which of the following”, the correct choice is Classification + Localization.</x:v>
      </x:c>
      <x:c r="N15" s="60" t="str">
        <x:v>GE1FH</x:v>
      </x:c>
      <x:c r="O15" s="60" t="str">
        <x:v>Artificial Intelligence</x:v>
      </x:c>
      <x:c r="P15" s="60" t="str">
        <x:v>Automated structural screening passed. Rewrite the explanation to teach the reasoning before publication. Mapped from Artificial Intelligence.</x:v>
      </x:c>
    </x:row>
    <x:row r="16">
      <x:c r="A16" s="60" t="str">
        <x:v>QB-0019</x:v>
      </x:c>
      <x:c r="B16" s="62" t="n">
        <x:v>19</x:v>
      </x:c>
      <x:c r="C16" s="60" t="str">
        <x:v>Computer</x:v>
      </x:c>
      <x:c r="D16" s="60" t="str">
        <x:v>Easy</x:v>
      </x:c>
      <x:c r="E16" s="60" t="str">
        <x:v>Computing Fundamentals</x:v>
      </x:c>
      <x:c r="F16" s="60" t="str">
        <x:v>Platforms such as Spotify, Facebook, Instagram, Amazon, Netflix etc. shows recommendation on the basis of what you like. Which is the technology behind this?</x:v>
      </x:c>
      <x:c r="G16" s="60" t="str">
        <x:v>Human Intelligence</x:v>
      </x:c>
      <x:c r="H16" s="60" t="str">
        <x:v>Platform Intelligence</x:v>
      </x:c>
      <x:c r="I16" s="60" t="str">
        <x:v>Artificial Intelligence</x:v>
      </x:c>
      <x:c r="J16" s="60" t="str">
        <x:v>Application Intelligence</x:v>
      </x:c>
      <x:c r="K16" s="60" t="str">
        <x:v>C</x:v>
      </x:c>
      <x:c r="L16" s="60" t="str">
        <x:v>Artificial Intelligence</x:v>
      </x:c>
      <x:c r="M16" s="60" t="str">
        <x:v>For the AI concept “Platforms such as Spotify Facebook Instagram Amazon”, the correct choice is Artificial Intelligence.</x:v>
      </x:c>
      <x:c r="N16" s="60" t="str">
        <x:v>GE1FH</x:v>
      </x:c>
      <x:c r="O16" s="60" t="str">
        <x:v>Artificial Intelligence</x:v>
      </x:c>
      <x:c r="P16" s="60" t="str">
        <x:v>Automated structural screening passed. Rewrite the explanation to teach the reasoning before publication. Mapped from Artificial Intelligence.</x:v>
      </x:c>
    </x:row>
    <x:row r="17">
      <x:c r="A17" s="60" t="str">
        <x:v>QB-0020</x:v>
      </x:c>
      <x:c r="B17" s="62" t="n">
        <x:v>20</x:v>
      </x:c>
      <x:c r="C17" s="60" t="str">
        <x:v>Computer</x:v>
      </x:c>
      <x:c r="D17" s="60" t="str">
        <x:v>Easy</x:v>
      </x:c>
      <x:c r="E17" s="60" t="str">
        <x:v>Computing Fundamentals</x:v>
      </x:c>
      <x:c r="F17" s="60" t="str">
        <x:v>Reema has started her own restaurant. She keeps on trying new ideas to make different dishes for her customers. As an entrepreneur, Reema is</x:v>
      </x:c>
      <x:c r="G17" s="60" t="str">
        <x:v>Impatient</x:v>
      </x:c>
      <x:c r="H17" s="60" t="str">
        <x:v>Creative</x:v>
      </x:c>
      <x:c r="I17" s="60" t="str">
        <x:v>Under - confident</x:v>
      </x:c>
      <x:c r="J17" s="60" t="str">
        <x:v>Lazy</x:v>
      </x:c>
      <x:c r="K17" s="60" t="str">
        <x:v>B</x:v>
      </x:c>
      <x:c r="L17" s="60" t="str">
        <x:v>Creative</x:v>
      </x:c>
      <x:c r="M17" s="60" t="str">
        <x:v>For the AI concept “Reema has started her own restaurant She”, the correct choice is Creative.</x:v>
      </x:c>
      <x:c r="N17" s="60" t="str">
        <x:v>GE1FH</x:v>
      </x:c>
      <x:c r="O17" s="60" t="str">
        <x:v>Artificial Intelligence</x:v>
      </x:c>
      <x:c r="P17" s="60" t="str">
        <x:v>Automated structural screening passed. Rewrite the explanation to teach the reasoning before publication. Mapped from Artificial Intelligence.</x:v>
      </x:c>
    </x:row>
    <x:row r="18">
      <x:c r="A18" s="60" t="str">
        <x:v>QB-0022</x:v>
      </x:c>
      <x:c r="B18" s="62" t="n">
        <x:v>22</x:v>
      </x:c>
      <x:c r="C18" s="60" t="str">
        <x:v>Computer</x:v>
      </x:c>
      <x:c r="D18" s="60" t="str">
        <x:v>Medium</x:v>
      </x:c>
      <x:c r="E18" s="60" t="str">
        <x:v>Artificial Intelligence</x:v>
      </x:c>
      <x:c r="F18" s="60" t="str">
        <x:v>Which application of NLP helps to provide an overview of a news item or blog post ? It also avoid s redundancy from multiple sources and maximi ses the diversity of content obtained .</x:v>
      </x:c>
      <x:c r="G18" s="60" t="str">
        <x:v>Virtual Assistants</x:v>
      </x:c>
      <x:c r="H18" s="60" t="str">
        <x:v>Sentiment Analysis</x:v>
      </x:c>
      <x:c r="I18" s="60" t="str">
        <x:v>Text Classification</x:v>
      </x:c>
      <x:c r="J18" s="60" t="str">
        <x:v>Automatic Summarization</x:v>
      </x:c>
      <x:c r="K18" s="60" t="str">
        <x:v>D</x:v>
      </x:c>
      <x:c r="L18" s="60" t="str">
        <x:v>Automatic Summarization</x:v>
      </x:c>
      <x:c r="M18" s="60" t="str">
        <x:v>For the AI concept “Which application of NLP helps to provide”, the correct choice is Automatic Summarization.</x:v>
      </x:c>
      <x:c r="N18" s="60" t="str">
        <x:v>GE1FH</x:v>
      </x:c>
      <x:c r="O18" s="60" t="str">
        <x:v>Artificial Intelligence</x:v>
      </x:c>
      <x:c r="P18" s="60" t="str">
        <x:v>Automated structural screening passed. Rewrite the explanation to teach the reasoning before publication. Mapped from Artificial Intelligence.</x:v>
      </x:c>
    </x:row>
    <x:row r="19">
      <x:c r="A19" s="60" t="str">
        <x:v>QB-0023</x:v>
      </x:c>
      <x:c r="B19" s="62" t="n">
        <x:v>23</x:v>
      </x:c>
      <x:c r="C19" s="60" t="str">
        <x:v>Computer</x:v>
      </x:c>
      <x:c r="D19" s="60" t="str">
        <x:v>Easy</x:v>
      </x:c>
      <x:c r="E19" s="60" t="str">
        <x:v>Computing Fundamentals</x:v>
      </x:c>
      <x:c r="F19" s="60" t="str">
        <x:v>Which of the following is not a step to build self - motivation?</x:v>
      </x:c>
      <x:c r="G19" s="60" t="str">
        <x:v>Focusing on your goal.</x:v>
      </x:c>
      <x:c r="H19" s="60" t="str">
        <x:v>Planning to achieve your goal.</x:v>
      </x:c>
      <x:c r="I19" s="60" t="str">
        <x:v>Being indisciplined.</x:v>
      </x:c>
      <x:c r="J19" s="60" t="str">
        <x:v>Finding out your strength.</x:v>
      </x:c>
      <x:c r="K19" s="60" t="str">
        <x:v>C</x:v>
      </x:c>
      <x:c r="L19" s="60" t="str">
        <x:v>Being indisciplined.</x:v>
      </x:c>
      <x:c r="M19" s="60" t="str">
        <x:v>For the AI concept “Which of the following is not a”, the correct choice is Being indisciplined..</x:v>
      </x:c>
      <x:c r="N19" s="60" t="str">
        <x:v>GE1FH</x:v>
      </x:c>
      <x:c r="O19" s="60" t="str">
        <x:v>Artificial Intelligence</x:v>
      </x:c>
      <x:c r="P19" s="60" t="str">
        <x:v>Automated structural screening passed. Rewrite the explanation to teach the reasoning before publication. Mapped from Artificial Intelligence.</x:v>
      </x:c>
    </x:row>
    <x:row r="20">
      <x:c r="A20" s="60" t="str">
        <x:v>QB-0025</x:v>
      </x:c>
      <x:c r="B20" s="62" t="n">
        <x:v>25</x:v>
      </x:c>
      <x:c r="C20" s="60" t="str">
        <x:v>Computer</x:v>
      </x:c>
      <x:c r="D20" s="60" t="str">
        <x:v>Easy</x:v>
      </x:c>
      <x:c r="E20" s="60" t="str">
        <x:v>Internet &amp; Networks</x:v>
      </x:c>
      <x:c r="F20" s="60" t="str">
        <x:v>In the POP3 protocol, what does the number “3” signify?</x:v>
      </x:c>
      <x:c r="G20" s="60" t="str">
        <x:v>It represents three computers involved</x:v>
      </x:c>
      <x:c r="H20" s="60" t="str">
        <x:v>It stands for the year 2003</x:v>
      </x:c>
      <x:c r="I20" s="60" t="str">
        <x:v>It refers to three main servers used in email delivery</x:v>
      </x:c>
      <x:c r="J20" s="60" t="str">
        <x:v>It indicates the third version of the Post Office Protocol</x:v>
      </x:c>
      <x:c r="K20" s="60" t="str">
        <x:v>D</x:v>
      </x:c>
      <x:c r="L20" s="60" t="str">
        <x:v>It indicates the third version of the Post Office Protocol</x:v>
      </x:c>
      <x:c r="M20" s="60" t="str">
        <x:v>The named network function is performed by It indicates the third version of the Post Office Protocol.</x:v>
      </x:c>
      <x:c r="N20" s="60" t="str">
        <x:v>2KNLM</x:v>
      </x:c>
      <x:c r="O20" s="60" t="str">
        <x:v>Computer Applications</x:v>
      </x:c>
      <x:c r="P20" s="60" t="str">
        <x:v>Automated structural screening passed. Rewrite the explanation to teach the reasoning before publication. Mapped from Computer Applications.</x:v>
      </x:c>
    </x:row>
    <x:row r="21">
      <x:c r="A21" s="60" t="str">
        <x:v>QB-0027</x:v>
      </x:c>
      <x:c r="B21" s="62" t="n">
        <x:v>27</x:v>
      </x:c>
      <x:c r="C21" s="60" t="str">
        <x:v>Computer</x:v>
      </x:c>
      <x:c r="D21" s="60" t="str">
        <x:v>Easy</x:v>
      </x:c>
      <x:c r="E21" s="60" t="str">
        <x:v>Internet &amp; Networks</x:v>
      </x:c>
      <x:c r="F21" s="60" t="str">
        <x:v>What is the primary purpose of the TCP/IP?</x:v>
      </x:c>
      <x:c r="G21" s="60" t="str">
        <x:v>To manage web pages</x:v>
      </x:c>
      <x:c r="H21" s="60" t="str">
        <x:v>To store emails on the server</x:v>
      </x:c>
      <x:c r="I21" s="60" t="str">
        <x:v>To define how data is transmitted over the Internet</x:v>
      </x:c>
      <x:c r="J21" s="60" t="str">
        <x:v>To secure websites using encryption</x:v>
      </x:c>
      <x:c r="K21" s="60" t="str">
        <x:v>C</x:v>
      </x:c>
      <x:c r="L21" s="60" t="str">
        <x:v>To define how data is transmitted over the Internet</x:v>
      </x:c>
      <x:c r="M21" s="60" t="str">
        <x:v>For the computing task “What is the primary purpose of the”, the correct choice is To define how data is transmitted over the Internet.</x:v>
      </x:c>
      <x:c r="N21" s="60" t="str">
        <x:v>2KNLM</x:v>
      </x:c>
      <x:c r="O21" s="60" t="str">
        <x:v>Computer Applications</x:v>
      </x:c>
      <x:c r="P21" s="60" t="str">
        <x:v>Automated structural screening passed. Rewrite the explanation to teach the reasoning before publication. Mapped from Computer Applications.</x:v>
      </x:c>
    </x:row>
    <x:row r="22">
      <x:c r="A22" s="60" t="str">
        <x:v>QB-0029</x:v>
      </x:c>
      <x:c r="B22" s="62" t="n">
        <x:v>29</x:v>
      </x:c>
      <x:c r="C22" s="60" t="str">
        <x:v>Computer</x:v>
      </x:c>
      <x:c r="D22" s="60" t="str">
        <x:v>Easy</x:v>
      </x:c>
      <x:c r="E22" s="60" t="str">
        <x:v>Web &amp; HTML</x:v>
      </x:c>
      <x:c r="F22" s="60" t="str">
        <x:v>Which heading tag represents the smallest heading size in HTML?</x:v>
      </x:c>
      <x:c r="G22" s="60" t="str">
        <x:v>&lt;h1&gt;</x:v>
      </x:c>
      <x:c r="H22" s="60" t="str">
        <x:v>&lt;h3&gt;</x:v>
      </x:c>
      <x:c r="I22" s="60" t="str">
        <x:v>&lt;h5&gt;</x:v>
      </x:c>
      <x:c r="J22" s="60" t="str">
        <x:v>&lt;h6&gt;</x:v>
      </x:c>
      <x:c r="K22" s="60" t="str">
        <x:v>D</x:v>
      </x:c>
      <x:c r="L22" s="60" t="str">
        <x:v>&lt;h6&gt;</x:v>
      </x:c>
      <x:c r="M22" s="60" t="str">
        <x:v>HTML defines &lt;h6&gt; as the matching choice here.</x:v>
      </x:c>
      <x:c r="N22" s="60" t="str">
        <x:v>2KNLM</x:v>
      </x:c>
      <x:c r="O22" s="60" t="str">
        <x:v>Computer Applications</x:v>
      </x:c>
      <x:c r="P22" s="60" t="str">
        <x:v>Automated structural screening passed. Rewrite the explanation to teach the reasoning before publication. Render HTML tags as escaped code text. Mapped from Computer Applications.</x:v>
      </x:c>
    </x:row>
    <x:row r="23">
      <x:c r="A23" s="60" t="str">
        <x:v>QB-0030</x:v>
      </x:c>
      <x:c r="B23" s="62" t="n">
        <x:v>30</x:v>
      </x:c>
      <x:c r="C23" s="60" t="str">
        <x:v>Computer</x:v>
      </x:c>
      <x:c r="D23" s="60" t="str">
        <x:v>Easy</x:v>
      </x:c>
      <x:c r="E23" s="60" t="str">
        <x:v>Web &amp; HTML</x:v>
      </x:c>
      <x:c r="F23" s="60" t="str">
        <x:v>Which of the following is not a valid type of list in HTML?</x:v>
      </x:c>
      <x:c r="G23" s="60" t="str">
        <x:v>Description list</x:v>
      </x:c>
      <x:c r="H23" s="60" t="str">
        <x:v>Ordered list</x:v>
      </x:c>
      <x:c r="I23" s="60" t="str">
        <x:v>Detail list</x:v>
      </x:c>
      <x:c r="J23" s="60" t="str">
        <x:v>Unordered list</x:v>
      </x:c>
      <x:c r="K23" s="60" t="str">
        <x:v>C</x:v>
      </x:c>
      <x:c r="L23" s="60" t="str">
        <x:v>Detail list</x:v>
      </x:c>
      <x:c r="M23" s="60" t="str">
        <x:v>HTML defines Detail list as the matching choice here.</x:v>
      </x:c>
      <x:c r="N23" s="60" t="str">
        <x:v>2KNLM</x:v>
      </x:c>
      <x:c r="O23" s="60" t="str">
        <x:v>Computer Applications</x:v>
      </x:c>
      <x:c r="P23" s="60" t="str">
        <x:v>Automated structural screening passed. Rewrite the explanation to teach the reasoning before publication. Mapped from Computer Applications.</x:v>
      </x:c>
    </x:row>
    <x:row r="24">
      <x:c r="A24" s="60" t="str">
        <x:v>QB-0031</x:v>
      </x:c>
      <x:c r="B24" s="62" t="n">
        <x:v>31</x:v>
      </x:c>
      <x:c r="C24" s="60" t="str">
        <x:v>Computer</x:v>
      </x:c>
      <x:c r="D24" s="60" t="str">
        <x:v>Easy</x:v>
      </x:c>
      <x:c r="E24" s="60" t="str">
        <x:v>Computing Fundamentals</x:v>
      </x:c>
      <x:c r="F24" s="60" t="str">
        <x:v>A website or online platform where individuals or groups regularly publish written content, typically in a reverse chronological order is known as</x:v>
      </x:c>
      <x:c r="G24" s="60" t="str">
        <x:v>News Group</x:v>
      </x:c>
      <x:c r="H24" s="60" t="str">
        <x:v>Blog</x:v>
      </x:c>
      <x:c r="I24" s="60" t="str">
        <x:v>Chat Group</x:v>
      </x:c>
      <x:c r="J24" s="60" t="str">
        <x:v>Social Networking</x:v>
      </x:c>
      <x:c r="K24" s="60" t="str">
        <x:v>B</x:v>
      </x:c>
      <x:c r="L24" s="60" t="str">
        <x:v>Blog</x:v>
      </x:c>
      <x:c r="M24" s="60" t="str">
        <x:v>For the computing task “A website or online platform where individuals”, the correct choice is Blog.</x:v>
      </x:c>
      <x:c r="N24" s="60" t="str">
        <x:v>C3ABD/1</x:v>
      </x:c>
      <x:c r="O24" s="60" t="str">
        <x:v>Computer Applications</x:v>
      </x:c>
      <x:c r="P24" s="60" t="str">
        <x:v>Automated structural screening passed. Rewrite the explanation to teach the reasoning before publication. Mapped from Computer Applications.</x:v>
      </x:c>
    </x:row>
    <x:row r="25">
      <x:c r="A25" s="60" t="str">
        <x:v>QB-0032</x:v>
      </x:c>
      <x:c r="B25" s="62" t="n">
        <x:v>32</x:v>
      </x:c>
      <x:c r="C25" s="60" t="str">
        <x:v>Computer</x:v>
      </x:c>
      <x:c r="D25" s="60" t="str">
        <x:v>Easy</x:v>
      </x:c>
      <x:c r="E25" s="60" t="str">
        <x:v>Computing Fundamentals</x:v>
      </x:c>
      <x:c r="F25" s="60" t="str">
        <x:v>The default color of vlink is _________ .</x:v>
      </x:c>
      <x:c r="G25" s="60" t="str">
        <x:v>Green</x:v>
      </x:c>
      <x:c r="H25" s="60" t="str">
        <x:v>Purple</x:v>
      </x:c>
      <x:c r="I25" s="60" t="str">
        <x:v>Blue</x:v>
      </x:c>
      <x:c r="J25" s="60" t="str">
        <x:v>Yellow</x:v>
      </x:c>
      <x:c r="K25" s="60" t="str">
        <x:v>B</x:v>
      </x:c>
      <x:c r="L25" s="60" t="str">
        <x:v>Purple</x:v>
      </x:c>
      <x:c r="M25" s="60" t="str">
        <x:v>For the computing task “The default color of vlink is”, the correct choice is Purple.</x:v>
      </x:c>
      <x:c r="N25" s="60" t="str">
        <x:v>C3ABD/1</x:v>
      </x:c>
      <x:c r="O25" s="60" t="str">
        <x:v>Computer Applications</x:v>
      </x:c>
      <x:c r="P25" s="60" t="str">
        <x:v>Automated structural screening passed. Rewrite the explanation to teach the reasoning before publication. Mapped from Computer Applications.</x:v>
      </x:c>
    </x:row>
    <x:row r="26">
      <x:c r="A26" s="60" t="str">
        <x:v>QB-0033</x:v>
      </x:c>
      <x:c r="B26" s="62" t="n">
        <x:v>33</x:v>
      </x:c>
      <x:c r="C26" s="60" t="str">
        <x:v>Computer</x:v>
      </x:c>
      <x:c r="D26" s="60" t="str">
        <x:v>Easy</x:v>
      </x:c>
      <x:c r="E26" s="60" t="str">
        <x:v>Internet &amp; Networks</x:v>
      </x:c>
      <x:c r="F26" s="60" t="str">
        <x:v>The letter S in the abbreviation HTTPS in context of Networking protocols, stands for</x:v>
      </x:c>
      <x:c r="G26" s="60" t="str">
        <x:v>Single</x:v>
      </x:c>
      <x:c r="H26" s="60" t="str">
        <x:v>Static</x:v>
      </x:c>
      <x:c r="I26" s="60" t="str">
        <x:v>Secure</x:v>
      </x:c>
      <x:c r="J26" s="60" t="str">
        <x:v>Sensitive</x:v>
      </x:c>
      <x:c r="K26" s="60" t="str">
        <x:v>C</x:v>
      </x:c>
      <x:c r="L26" s="60" t="str">
        <x:v>Secure</x:v>
      </x:c>
      <x:c r="M26" s="60" t="str">
        <x:v>The named network function is performed by Secure.</x:v>
      </x:c>
      <x:c r="N26" s="60" t="str">
        <x:v>C3ABD/1</x:v>
      </x:c>
      <x:c r="O26" s="60" t="str">
        <x:v>Computer Applications</x:v>
      </x:c>
      <x:c r="P26" s="60" t="str">
        <x:v>Automated structural screening passed. Rewrite the explanation to teach the reasoning before publication. Mapped from Computer Applications.</x:v>
      </x:c>
    </x:row>
    <x:row r="27">
      <x:c r="A27" s="60" t="str">
        <x:v>QB-0034</x:v>
      </x:c>
      <x:c r="B27" s="62" t="n">
        <x:v>34</x:v>
      </x:c>
      <x:c r="C27" s="60" t="str">
        <x:v>Computer</x:v>
      </x:c>
      <x:c r="D27" s="60" t="str">
        <x:v>Easy</x:v>
      </x:c>
      <x:c r="E27" s="60" t="str">
        <x:v>Computing Fundamentals</x:v>
      </x:c>
      <x:c r="F27" s="60" t="str">
        <x:v>Which of the following is not a Web Service?</x:v>
      </x:c>
      <x:c r="G27" s="60" t="str">
        <x:v>Using Diksha learning portal</x:v>
      </x:c>
      <x:c r="H27" s="60" t="str">
        <x:v>Sending and receiving email</x:v>
      </x:c>
      <x:c r="I27" s="60" t="str">
        <x:v>File transfer over Bluetooth</x:v>
      </x:c>
      <x:c r="J27" s="60" t="str">
        <x:v>Using a banking portal for online transaction</x:v>
      </x:c>
      <x:c r="K27" s="60" t="str">
        <x:v>C</x:v>
      </x:c>
      <x:c r="L27" s="60" t="str">
        <x:v>File transfer over Bluetooth</x:v>
      </x:c>
      <x:c r="M27" s="60" t="str">
        <x:v>For the computing task “Which of the following is not a”, the correct choice is File transfer over Bluetooth.</x:v>
      </x:c>
      <x:c r="N27" s="60" t="str">
        <x:v>C3ABD/1</x:v>
      </x:c>
      <x:c r="O27" s="60" t="str">
        <x:v>Computer Applications</x:v>
      </x:c>
      <x:c r="P27" s="60" t="str">
        <x:v>Automated structural screening passed. Rewrite the explanation to teach the reasoning before publication. Mapped from Computer Applications.</x:v>
      </x:c>
    </x:row>
    <x:row r="28">
      <x:c r="A28" s="60" t="str">
        <x:v>QB-0035</x:v>
      </x:c>
      <x:c r="B28" s="62" t="n">
        <x:v>35</x:v>
      </x:c>
      <x:c r="C28" s="60" t="str">
        <x:v>Computer</x:v>
      </x:c>
      <x:c r="D28" s="60" t="str">
        <x:v>Easy</x:v>
      </x:c>
      <x:c r="E28" s="60" t="str">
        <x:v>Computing Fundamentals</x:v>
      </x:c>
      <x:c r="F28" s="60" t="str">
        <x:v>Which of the following is not an attribute of the &lt;font&gt; tag?</x:v>
      </x:c>
      <x:c r="G28" s="60" t="str">
        <x:v>face</x:v>
      </x:c>
      <x:c r="H28" s="60" t="str">
        <x:v>height</x:v>
      </x:c>
      <x:c r="I28" s="60" t="str">
        <x:v>size</x:v>
      </x:c>
      <x:c r="J28" s="60" t="str">
        <x:v>color</x:v>
      </x:c>
      <x:c r="K28" s="60" t="str">
        <x:v>B</x:v>
      </x:c>
      <x:c r="L28" s="60" t="str">
        <x:v>height</x:v>
      </x:c>
      <x:c r="M28" s="60" t="str">
        <x:v>HTML defines height as the matching choice here.</x:v>
      </x:c>
      <x:c r="N28" s="60" t="str">
        <x:v>C3ABD/1</x:v>
      </x:c>
      <x:c r="O28" s="60" t="str">
        <x:v>Computer Applications</x:v>
      </x:c>
      <x:c r="P28" s="60" t="str">
        <x:v>Automated structural screening passed. Rewrite the explanation to teach the reasoning before publication. Render HTML tags as escaped code text. Mapped from Computer Applications.</x:v>
      </x:c>
    </x:row>
    <x:row r="29">
      <x:c r="A29" s="60" t="str">
        <x:v>QB-0036</x:v>
      </x:c>
      <x:c r="B29" s="62" t="n">
        <x:v>36</x:v>
      </x:c>
      <x:c r="C29" s="60" t="str">
        <x:v>Computer</x:v>
      </x:c>
      <x:c r="D29" s="60" t="str">
        <x:v>Easy</x:v>
      </x:c>
      <x:c r="E29" s="60" t="str">
        <x:v>Digital Citizenship</x:v>
      </x:c>
      <x:c r="F29" s="60" t="str">
        <x:v>Which of the following is not an example of an Open Source Software?</x:v>
      </x:c>
      <x:c r="G29" s="60" t="str">
        <x:v>Linux</x:v>
      </x:c>
      <x:c r="H29" s="60" t="str">
        <x:v>Android</x:v>
      </x:c>
      <x:c r="I29" s="60" t="str">
        <x:v>Photoshop</x:v>
      </x:c>
      <x:c r="J29" s="60" t="str">
        <x:v>OpenOffice</x:v>
      </x:c>
      <x:c r="K29" s="60" t="str">
        <x:v>C</x:v>
      </x:c>
      <x:c r="L29" s="60" t="str">
        <x:v>Photoshop</x:v>
      </x:c>
      <x:c r="M29" s="60" t="str">
        <x:v>For the computing task “Which of the following is not an”, the correct choice is Photoshop.</x:v>
      </x:c>
      <x:c r="N29" s="60" t="str">
        <x:v>C3ABD/1</x:v>
      </x:c>
      <x:c r="O29" s="60" t="str">
        <x:v>Computer Applications</x:v>
      </x:c>
      <x:c r="P29" s="60" t="str">
        <x:v>Automated structural screening passed. Rewrite the explanation to teach the reasoning before publication. Mapped from Computer Applications.</x:v>
      </x:c>
    </x:row>
    <x:row r="30">
      <x:c r="A30" s="60" t="str">
        <x:v>QB-0037</x:v>
      </x:c>
      <x:c r="B30" s="62" t="n">
        <x:v>37</x:v>
      </x:c>
      <x:c r="C30" s="60" t="str">
        <x:v>Computer</x:v>
      </x:c>
      <x:c r="D30" s="60" t="str">
        <x:v>Easy</x:v>
      </x:c>
      <x:c r="E30" s="60" t="str">
        <x:v>Web &amp; HTML</x:v>
      </x:c>
      <x:c r="F30" s="60" t="str">
        <x:v>Which of the following tags is not used while creating a description list?</x:v>
      </x:c>
      <x:c r="G30" s="60" t="str">
        <x:v>&lt;dt&gt;</x:v>
      </x:c>
      <x:c r="H30" s="60" t="str">
        <x:v>&lt;dl&gt;</x:v>
      </x:c>
      <x:c r="I30" s="60" t="str">
        <x:v>&lt;td&gt;</x:v>
      </x:c>
      <x:c r="J30" s="60" t="str">
        <x:v>&lt;dd&gt;</x:v>
      </x:c>
      <x:c r="K30" s="60" t="str">
        <x:v>C</x:v>
      </x:c>
      <x:c r="L30" s="60" t="str">
        <x:v>&lt;td&gt;</x:v>
      </x:c>
      <x:c r="M30" s="60" t="str">
        <x:v>HTML defines &lt;td&gt; as the matching choice here.</x:v>
      </x:c>
      <x:c r="N30" s="60" t="str">
        <x:v>C3ABD/1</x:v>
      </x:c>
      <x:c r="O30" s="60" t="str">
        <x:v>Computer Applications</x:v>
      </x:c>
      <x:c r="P30" s="60" t="str">
        <x:v>Automated structural screening passed. Rewrite the explanation to teach the reasoning before publication. Render HTML tags as escaped code text. Mapped from Computer Applications.</x:v>
      </x:c>
    </x:row>
    <x:row r="31">
      <x:c r="A31" s="60" t="str">
        <x:v>QB-0038</x:v>
      </x:c>
      <x:c r="B31" s="62" t="n">
        <x:v>38</x:v>
      </x:c>
      <x:c r="C31" s="60" t="str">
        <x:v>Computer</x:v>
      </x:c>
      <x:c r="D31" s="60" t="str">
        <x:v>Easy</x:v>
      </x:c>
      <x:c r="E31" s="60" t="str">
        <x:v>Internet &amp; Networks</x:v>
      </x:c>
      <x:c r="F31" s="60" t="str">
        <x:v>A web server is _____________.</x:v>
      </x:c>
      <x:c r="G31" s="60" t="str">
        <x:v>A program that downloads files</x:v>
      </x:c>
      <x:c r="H31" s="60" t="str">
        <x:v>A type of web browser</x:v>
      </x:c>
      <x:c r="I31" s="60" t="str">
        <x:v>A protocol used for secure communication</x:v>
      </x:c>
      <x:c r="J31" s="60" t="str">
        <x:v>A computer that stores and delivers web pages</x:v>
      </x:c>
      <x:c r="K31" s="60" t="str">
        <x:v>D</x:v>
      </x:c>
      <x:c r="L31" s="60" t="str">
        <x:v>A computer that stores and delivers web pages</x:v>
      </x:c>
      <x:c r="M31" s="60" t="str">
        <x:v>For the computing task “A web server is”, the correct choice is A computer that stores and delivers web pages.</x:v>
      </x:c>
      <x:c r="N31" s="60" t="str">
        <x:v>EFGH/S</x:v>
      </x:c>
      <x:c r="O31" s="60" t="str">
        <x:v>Computer Applications</x:v>
      </x:c>
      <x:c r="P31" s="60" t="str">
        <x:v>Automated structural screening passed. Rewrite the explanation to teach the reasoning before publication. Mapped from Computer Applications.</x:v>
      </x:c>
    </x:row>
    <x:row r="32">
      <x:c r="A32" s="60" t="str">
        <x:v>QB-0039</x:v>
      </x:c>
      <x:c r="B32" s="62" t="n">
        <x:v>39</x:v>
      </x:c>
      <x:c r="C32" s="60" t="str">
        <x:v>Computer</x:v>
      </x:c>
      <x:c r="D32" s="60" t="str">
        <x:v>Easy</x:v>
      </x:c>
      <x:c r="E32" s="60" t="str">
        <x:v>Internet &amp; Networks</x:v>
      </x:c>
      <x:c r="F32" s="60" t="str">
        <x:v>What does the ' https ' in a web address indicate?</x:v>
      </x:c>
      <x:c r="G32" s="60" t="str">
        <x:v>The website is hosted on a local server</x:v>
      </x:c>
      <x:c r="H32" s="60" t="str">
        <x:v>The website is a search engine</x:v>
      </x:c>
      <x:c r="I32" s="60" t="str">
        <x:v>The website uses standard HTTP protocol</x:v>
      </x:c>
      <x:c r="J32" s="60" t="str">
        <x:v>The website is secure using encryption</x:v>
      </x:c>
      <x:c r="K32" s="60" t="str">
        <x:v>D</x:v>
      </x:c>
      <x:c r="L32" s="60" t="str">
        <x:v>The website is secure using encryption</x:v>
      </x:c>
      <x:c r="M32" s="60" t="str">
        <x:v>For the computing task “What does the https in a web”, the correct choice is The website is secure using encryption.</x:v>
      </x:c>
      <x:c r="N32" s="60" t="str">
        <x:v>EFGH/S</x:v>
      </x:c>
      <x:c r="O32" s="60" t="str">
        <x:v>Computer Applications</x:v>
      </x:c>
      <x:c r="P32" s="60" t="str">
        <x:v>Automated structural screening passed. Rewrite the explanation to teach the reasoning before publication. Mapped from Computer Applications.</x:v>
      </x:c>
    </x:row>
    <x:row r="33">
      <x:c r="A33" s="60" t="str">
        <x:v>QB-0040</x:v>
      </x:c>
      <x:c r="B33" s="62" t="n">
        <x:v>40</x:v>
      </x:c>
      <x:c r="C33" s="60" t="str">
        <x:v>Computer</x:v>
      </x:c>
      <x:c r="D33" s="60" t="str">
        <x:v>Easy</x:v>
      </x:c>
      <x:c r="E33" s="60" t="str">
        <x:v>Internet &amp; Networks</x:v>
      </x:c>
      <x:c r="F33" s="60" t="str">
        <x:v>What is the expanded form of TCP in TCP/IP?</x:v>
      </x:c>
      <x:c r="G33" s="60" t="str">
        <x:v>Transmission Control Protocol</x:v>
      </x:c>
      <x:c r="H33" s="60" t="str">
        <x:v>Transmission Central Protocol</x:v>
      </x:c>
      <x:c r="I33" s="60" t="str">
        <x:v>Transfer Control Protocol</x:v>
      </x:c>
      <x:c r="J33" s="60" t="str">
        <x:v>Transport Central Protocol</x:v>
      </x:c>
      <x:c r="K33" s="60" t="str">
        <x:v>A</x:v>
      </x:c>
      <x:c r="L33" s="60" t="str">
        <x:v>Transmission Control Protocol</x:v>
      </x:c>
      <x:c r="M33" s="60" t="str">
        <x:v>For the computing task “What is the expanded form of TCP”, the correct choice is Transmission Control Protocol.</x:v>
      </x:c>
      <x:c r="N33" s="60" t="str">
        <x:v>EFGH/S</x:v>
      </x:c>
      <x:c r="O33" s="60" t="str">
        <x:v>Computer Applications</x:v>
      </x:c>
      <x:c r="P33" s="60" t="str">
        <x:v>Automated structural screening passed. Rewrite the explanation to teach the reasoning before publication. Mapped from Computer Applications.</x:v>
      </x:c>
    </x:row>
    <x:row r="34">
      <x:c r="A34" s="60" t="str">
        <x:v>QB-0041</x:v>
      </x:c>
      <x:c r="B34" s="62" t="n">
        <x:v>41</x:v>
      </x:c>
      <x:c r="C34" s="60" t="str">
        <x:v>Computer</x:v>
      </x:c>
      <x:c r="D34" s="60" t="str">
        <x:v>Easy</x:v>
      </x:c>
      <x:c r="E34" s="60" t="str">
        <x:v>Computing Fundamentals</x:v>
      </x:c>
      <x:c r="F34" s="60" t="str">
        <x:v>What is the meaning of downloading a file?</x:v>
      </x:c>
      <x:c r="G34" s="60" t="str">
        <x:v>Transferring files to a remote server from our local device</x:v>
      </x:c>
      <x:c r="H34" s="60" t="str">
        <x:v>Copying files from a remote server to our local device</x:v>
      </x:c>
      <x:c r="I34" s="60" t="str">
        <x:v>Watching videos online</x:v>
      </x:c>
      <x:c r="J34" s="60" t="str">
        <x:v>Modifying files on a remote server</x:v>
      </x:c>
      <x:c r="K34" s="60" t="str">
        <x:v>B</x:v>
      </x:c>
      <x:c r="L34" s="60" t="str">
        <x:v>Copying files from a remote server to our local device</x:v>
      </x:c>
      <x:c r="M34" s="60" t="str">
        <x:v>For the computing task “What is the meaning of downloading a”, the correct choice is Copying files from a remote server to our local device.</x:v>
      </x:c>
      <x:c r="N34" s="60" t="str">
        <x:v>EFGH/S</x:v>
      </x:c>
      <x:c r="O34" s="60" t="str">
        <x:v>Computer Applications</x:v>
      </x:c>
      <x:c r="P34" s="60" t="str">
        <x:v>Automated structural screening passed. Rewrite the explanation to teach the reasoning before publication. Mapped from Computer Applications.</x:v>
      </x:c>
    </x:row>
    <x:row r="35">
      <x:c r="A35" s="60" t="str">
        <x:v>QB-0042</x:v>
      </x:c>
      <x:c r="B35" s="62" t="n">
        <x:v>42</x:v>
      </x:c>
      <x:c r="C35" s="60" t="str">
        <x:v>Computer</x:v>
      </x:c>
      <x:c r="D35" s="60" t="str">
        <x:v>Easy</x:v>
      </x:c>
      <x:c r="E35" s="60" t="str">
        <x:v>Internet &amp; Networks</x:v>
      </x:c>
      <x:c r="F35" s="60" t="str">
        <x:v>What is the primary function of a web browser?</x:v>
      </x:c>
      <x:c r="G35" s="60" t="str">
        <x:v>To create web pages</x:v>
      </x:c>
      <x:c r="H35" s="60" t="str">
        <x:v>To display the content of World Wide Web</x:v>
      </x:c>
      <x:c r="I35" s="60" t="str">
        <x:v>To manage web pages</x:v>
      </x:c>
      <x:c r="J35" s="60" t="str">
        <x:v>For secure data transmission • • •</x:v>
      </x:c>
      <x:c r="K35" s="60" t="str">
        <x:v>B</x:v>
      </x:c>
      <x:c r="L35" s="60" t="str">
        <x:v>To display the content of World Wide Web</x:v>
      </x:c>
      <x:c r="M35" s="60" t="str">
        <x:v>For the computing task “What is the primary function of a”, the correct choice is To display the content of World Wide Web.</x:v>
      </x:c>
      <x:c r="N35" s="60" t="str">
        <x:v>EFGH/S</x:v>
      </x:c>
      <x:c r="O35" s="60" t="str">
        <x:v>Computer Applications</x:v>
      </x:c>
      <x:c r="P35" s="60" t="str">
        <x:v>Automated structural screening passed. Rewrite the explanation to teach the reasoning before publication. Mapped from Computer Applications.</x:v>
      </x:c>
    </x:row>
    <x:row r="36">
      <x:c r="A36" s="60" t="str">
        <x:v>QB-0043</x:v>
      </x:c>
      <x:c r="B36" s="62" t="n">
        <x:v>43</x:v>
      </x:c>
      <x:c r="C36" s="60" t="str">
        <x:v>Computer</x:v>
      </x:c>
      <x:c r="D36" s="60" t="str">
        <x:v>Easy</x:v>
      </x:c>
      <x:c r="E36" s="60" t="str">
        <x:v>Web &amp; HTML</x:v>
      </x:c>
      <x:c r="F36" s="60" t="str">
        <x:v>Which attribute of the &lt;body&gt; tag is used to set the background color of a web page?</x:v>
      </x:c>
      <x:c r="G36" s="60" t="str">
        <x:v>text</x:v>
      </x:c>
      <x:c r="H36" s="60" t="str">
        <x:v>bgcolor</x:v>
      </x:c>
      <x:c r="I36" s="60" t="str">
        <x:v>background</x:v>
      </x:c>
      <x:c r="J36" s="60" t="str">
        <x:v>color</x:v>
      </x:c>
      <x:c r="K36" s="60" t="str">
        <x:v>B</x:v>
      </x:c>
      <x:c r="L36" s="60" t="str">
        <x:v>bgcolor</x:v>
      </x:c>
      <x:c r="M36" s="60" t="str">
        <x:v>HTML defines bgcolor as the matching choice here.</x:v>
      </x:c>
      <x:c r="N36" s="60" t="str">
        <x:v>EFGH/S</x:v>
      </x:c>
      <x:c r="O36" s="60" t="str">
        <x:v>Computer Applications</x:v>
      </x:c>
      <x:c r="P36" s="60" t="str">
        <x:v>Automated structural screening passed. Rewrite the explanation to teach the reasoning before publication. Render HTML tags as escaped code text. Mapped from Computer Applications.</x:v>
      </x:c>
    </x:row>
    <x:row r="37">
      <x:c r="A37" s="60" t="str">
        <x:v>QB-0044</x:v>
      </x:c>
      <x:c r="B37" s="62" t="n">
        <x:v>44</x:v>
      </x:c>
      <x:c r="C37" s="60" t="str">
        <x:v>Computer</x:v>
      </x:c>
      <x:c r="D37" s="60" t="str">
        <x:v>Easy</x:v>
      </x:c>
      <x:c r="E37" s="60" t="str">
        <x:v>Internet &amp; Networks</x:v>
      </x:c>
      <x:c r="F37" s="60" t="str">
        <x:v>Which of the following is a service for real - time text communication on the internet?</x:v>
      </x:c>
      <x:c r="G37" s="60" t="str">
        <x:v>e - Learning</x:v>
      </x:c>
      <x:c r="H37" s="60" t="str">
        <x:v>FTP</x:v>
      </x:c>
      <x:c r="I37" s="60" t="str">
        <x:v>Video conferencing</x:v>
      </x:c>
      <x:c r="J37" s="60" t="str">
        <x:v>Chat</x:v>
      </x:c>
      <x:c r="K37" s="60" t="str">
        <x:v>D</x:v>
      </x:c>
      <x:c r="L37" s="60" t="str">
        <x:v>Chat</x:v>
      </x:c>
      <x:c r="M37" s="60" t="str">
        <x:v>The named network function is performed by Chat.</x:v>
      </x:c>
      <x:c r="N37" s="60" t="str">
        <x:v>EFGH/S</x:v>
      </x:c>
      <x:c r="O37" s="60" t="str">
        <x:v>Computer Applications</x:v>
      </x:c>
      <x:c r="P37" s="60" t="str">
        <x:v>Automated structural screening passed. Rewrite the explanation to teach the reasoning before publication. Mapped from Computer Applications.</x:v>
      </x:c>
    </x:row>
    <x:row r="38">
      <x:c r="A38" s="60" t="str">
        <x:v>QB-0046</x:v>
      </x:c>
      <x:c r="B38" s="62" t="n">
        <x:v>46</x:v>
      </x:c>
      <x:c r="C38" s="60" t="str">
        <x:v>Computer</x:v>
      </x:c>
      <x:c r="D38" s="60" t="str">
        <x:v>Easy</x:v>
      </x:c>
      <x:c r="E38" s="60" t="str">
        <x:v>Web &amp; HTML</x:v>
      </x:c>
      <x:c r="F38" s="60" t="str">
        <x:v>Which tag is used to create a line break in an HTML document?</x:v>
      </x:c>
      <x:c r="G38" s="60" t="str">
        <x:v>&lt;lb&gt;</x:v>
      </x:c>
      <x:c r="H38" s="60" t="str">
        <x:v>&lt;break&gt;</x:v>
      </x:c>
      <x:c r="I38" s="60" t="str">
        <x:v>&lt;br&gt;</x:v>
      </x:c>
      <x:c r="J38" s="60" t="str">
        <x:v>&lt;newline&gt;</x:v>
      </x:c>
      <x:c r="K38" s="60" t="str">
        <x:v>C</x:v>
      </x:c>
      <x:c r="L38" s="60" t="str">
        <x:v>&lt;br&gt;</x:v>
      </x:c>
      <x:c r="M38" s="60" t="str">
        <x:v>HTML defines &lt;br&gt; as the matching choice here.</x:v>
      </x:c>
      <x:c r="N38" s="60" t="str">
        <x:v>EFGH/S</x:v>
      </x:c>
      <x:c r="O38" s="60" t="str">
        <x:v>Computer Applications</x:v>
      </x:c>
      <x:c r="P38" s="60" t="str">
        <x:v>Automated structural screening passed. Rewrite the explanation to teach the reasoning before publication. Render HTML tags as escaped code text. Mapped from Computer Applications.</x:v>
      </x:c>
    </x:row>
    <x:row r="39">
      <x:c r="A39" s="60" t="str">
        <x:v>QB-0047</x:v>
      </x:c>
      <x:c r="B39" s="62" t="n">
        <x:v>47</x:v>
      </x:c>
      <x:c r="C39" s="60" t="str">
        <x:v>Computer</x:v>
      </x:c>
      <x:c r="D39" s="60" t="str">
        <x:v>Easy</x:v>
      </x:c>
      <x:c r="E39" s="60" t="str">
        <x:v>Internet &amp; Networks</x:v>
      </x:c>
      <x:c r="F39" s="60" t="str">
        <x:v>Arun is sending an e-mail to his office. Which protocol out of the following options will be used for the purpose?</x:v>
      </x:c>
      <x:c r="G39" s="60" t="str">
        <x:v>FTP</x:v>
      </x:c>
      <x:c r="H39" s="60" t="str">
        <x:v>HTTP</x:v>
      </x:c>
      <x:c r="I39" s="60" t="str">
        <x:v>SMTP</x:v>
      </x:c>
      <x:c r="J39" s="60" t="str">
        <x:v>SCP</x:v>
      </x:c>
      <x:c r="K39" s="60" t="str">
        <x:v>C</x:v>
      </x:c>
      <x:c r="L39" s="60" t="str">
        <x:v>SMTP</x:v>
      </x:c>
      <x:c r="M39" s="60" t="str">
        <x:v>The named network function is performed by SMTP.</x:v>
      </x:c>
      <x:c r="N39" s="60" t="str">
        <x:v>GE1FH</x:v>
      </x:c>
      <x:c r="O39" s="60" t="str">
        <x:v>Computer Applications</x:v>
      </x:c>
      <x:c r="P39" s="60" t="str">
        <x:v>Automated structural screening passed. Rewrite the explanation to teach the reasoning before publication. Mapped from Computer Applications.</x:v>
      </x:c>
    </x:row>
    <x:row r="40">
      <x:c r="A40" s="60" t="str">
        <x:v>QB-0048</x:v>
      </x:c>
      <x:c r="B40" s="62" t="n">
        <x:v>48</x:v>
      </x:c>
      <x:c r="C40" s="60" t="str">
        <x:v>Computer</x:v>
      </x:c>
      <x:c r="D40" s="60" t="str">
        <x:v>Medium</x:v>
      </x:c>
      <x:c r="E40" s="60" t="str">
        <x:v>Computing Fundamentals</x:v>
      </x:c>
      <x:c r="F40" s="60" t="str">
        <x:v>Select the correct option to fill in the blank : 1 A ___________ is an online platform or website where individuals or businesses regularly publish articles/journals, known as posts, on various topics.</x:v>
      </x:c>
      <x:c r="G40" s="60" t="str">
        <x:v>Brower</x:v>
      </x:c>
      <x:c r="H40" s="60" t="str">
        <x:v>Blog</x:v>
      </x:c>
      <x:c r="I40" s="60" t="str">
        <x:v>News Group</x:v>
      </x:c>
      <x:c r="J40" s="60" t="str">
        <x:v>Web Server</x:v>
      </x:c>
      <x:c r="K40" s="60" t="str">
        <x:v>B</x:v>
      </x:c>
      <x:c r="L40" s="60" t="str">
        <x:v>Blog</x:v>
      </x:c>
      <x:c r="M40" s="60" t="str">
        <x:v>For the computing task “Select the correct option to fill in”, the correct choice is Blog.</x:v>
      </x:c>
      <x:c r="N40" s="60" t="str">
        <x:v>GE1FH</x:v>
      </x:c>
      <x:c r="O40" s="60" t="str">
        <x:v>Computer Applications</x:v>
      </x:c>
      <x:c r="P40" s="60" t="str">
        <x:v>Automated structural screening passed. Rewrite the explanation to teach the reasoning before publication. Mapped from Computer Applications.</x:v>
      </x:c>
    </x:row>
    <x:row r="41">
      <x:c r="A41" s="60" t="str">
        <x:v>QB-0049</x:v>
      </x:c>
      <x:c r="B41" s="62" t="n">
        <x:v>49</x:v>
      </x:c>
      <x:c r="C41" s="60" t="str">
        <x:v>Computer</x:v>
      </x:c>
      <x:c r="D41" s="60" t="str">
        <x:v>Easy</x:v>
      </x:c>
      <x:c r="E41" s="60" t="str">
        <x:v>Web &amp; HTML</x:v>
      </x:c>
      <x:c r="F41" s="60" t="str">
        <x:v>The default value for the type attribute of an Unordered List in HTML is:</x:v>
      </x:c>
      <x:c r="G41" s="60" t="str">
        <x:v>circle</x:v>
      </x:c>
      <x:c r="H41" s="60" t="str">
        <x:v>disc</x:v>
      </x:c>
      <x:c r="I41" s="60" t="str">
        <x:v>square</x:v>
      </x:c>
      <x:c r="J41" s="60" t="str">
        <x:v>triangle</x:v>
      </x:c>
      <x:c r="K41" s="60" t="str">
        <x:v>B</x:v>
      </x:c>
      <x:c r="L41" s="60" t="str">
        <x:v>disc</x:v>
      </x:c>
      <x:c r="M41" s="60" t="str">
        <x:v>HTML defines disc as the matching choice here.</x:v>
      </x:c>
      <x:c r="N41" s="60" t="str">
        <x:v>GE1FH</x:v>
      </x:c>
      <x:c r="O41" s="60" t="str">
        <x:v>Computer Applications</x:v>
      </x:c>
      <x:c r="P41" s="60" t="str">
        <x:v>Automated structural screening passed. Rewrite the explanation to teach the reasoning before publication. Mapped from Computer Applications.</x:v>
      </x:c>
    </x:row>
    <x:row r="42">
      <x:c r="A42" s="60" t="str">
        <x:v>QB-0050</x:v>
      </x:c>
      <x:c r="B42" s="62" t="n">
        <x:v>50</x:v>
      </x:c>
      <x:c r="C42" s="60" t="str">
        <x:v>Computer</x:v>
      </x:c>
      <x:c r="D42" s="60" t="str">
        <x:v>Easy</x:v>
      </x:c>
      <x:c r="E42" s="60" t="str">
        <x:v>Internet &amp; Networks</x:v>
      </x:c>
      <x:c r="F42" s="60" t="str">
        <x:v>What is the full form of FTP?</x:v>
      </x:c>
      <x:c r="G42" s="60" t="str">
        <x:v>File Transfer Protocol</x:v>
      </x:c>
      <x:c r="H42" s="60" t="str">
        <x:v>File Transmission Protocol</x:v>
      </x:c>
      <x:c r="I42" s="60" t="str">
        <x:v>Fast Transfer Protocol</x:v>
      </x:c>
      <x:c r="J42" s="60" t="str">
        <x:v>Fast Transmission Protocol • • •</x:v>
      </x:c>
      <x:c r="K42" s="60" t="str">
        <x:v>A</x:v>
      </x:c>
      <x:c r="L42" s="60" t="str">
        <x:v>File Transfer Protocol</x:v>
      </x:c>
      <x:c r="M42" s="60" t="str">
        <x:v>For the computing task “What is the full form of FTP”, the correct choice is File Transfer Protocol.</x:v>
      </x:c>
      <x:c r="N42" s="60" t="str">
        <x:v>GE1FH</x:v>
      </x:c>
      <x:c r="O42" s="60" t="str">
        <x:v>Computer Applications</x:v>
      </x:c>
      <x:c r="P42" s="60" t="str">
        <x:v>Automated structural screening passed. Rewrite the explanation to teach the reasoning before publication. Mapped from Computer Applications.</x:v>
      </x:c>
    </x:row>
    <x:row r="43">
      <x:c r="A43" s="60" t="str">
        <x:v>QB-0051</x:v>
      </x:c>
      <x:c r="B43" s="62" t="n">
        <x:v>51</x:v>
      </x:c>
      <x:c r="C43" s="60" t="str">
        <x:v>Computer</x:v>
      </x:c>
      <x:c r="D43" s="60" t="str">
        <x:v>Easy</x:v>
      </x:c>
      <x:c r="E43" s="60" t="str">
        <x:v>Web &amp; HTML</x:v>
      </x:c>
      <x:c r="F43" s="60" t="str">
        <x:v>Which of the following attributes is not a valid attribute of the &lt;font&gt; tag in HTML?</x:v>
      </x:c>
      <x:c r="G43" s="60" t="str">
        <x:v>face</x:v>
      </x:c>
      <x:c r="H43" s="60" t="str">
        <x:v>type</x:v>
      </x:c>
      <x:c r="I43" s="60" t="str">
        <x:v>size</x:v>
      </x:c>
      <x:c r="J43" s="60" t="str">
        <x:v>color</x:v>
      </x:c>
      <x:c r="K43" s="60" t="str">
        <x:v>B</x:v>
      </x:c>
      <x:c r="L43" s="60" t="str">
        <x:v>type</x:v>
      </x:c>
      <x:c r="M43" s="60" t="str">
        <x:v>HTML defines type as the matching choice here.</x:v>
      </x:c>
      <x:c r="N43" s="60" t="str">
        <x:v>GE1FH</x:v>
      </x:c>
      <x:c r="O43" s="60" t="str">
        <x:v>Computer Applications</x:v>
      </x:c>
      <x:c r="P43" s="60" t="str">
        <x:v>Automated structural screening passed. Rewrite the explanation to teach the reasoning before publication. Render HTML tags as escaped code text. Mapped from Computer Applications.</x:v>
      </x:c>
    </x:row>
    <x:row r="44">
      <x:c r="A44" s="60" t="str">
        <x:v>QB-0052</x:v>
      </x:c>
      <x:c r="B44" s="62" t="n">
        <x:v>52</x:v>
      </x:c>
      <x:c r="C44" s="60" t="str">
        <x:v>Computer</x:v>
      </x:c>
      <x:c r="D44" s="60" t="str">
        <x:v>Easy</x:v>
      </x:c>
      <x:c r="E44" s="60" t="str">
        <x:v>Digital Citizenship</x:v>
      </x:c>
      <x:c r="F44" s="60" t="str">
        <x:v>Which of the following is not an e-Reservation portal in India?</x:v>
      </x:c>
      <x:c r="G44" s="60" t="str">
        <x:v>https://www.amazon.in</x:v>
      </x:c>
      <x:c r="H44" s="60" t="str">
        <x:v>https://www.yatra.com</x:v>
      </x:c>
      <x:c r="I44" s="60" t="str">
        <x:v>https://www.makemytrip.com</x:v>
      </x:c>
      <x:c r="J44" s="60" t="str">
        <x:v>https://www.irctc.co.in</x:v>
      </x:c>
      <x:c r="K44" s="60" t="str">
        <x:v>A</x:v>
      </x:c>
      <x:c r="L44" s="60" t="str">
        <x:v>https://www.amazon.in</x:v>
      </x:c>
      <x:c r="M44" s="60" t="str">
        <x:v>For the computing task “Which of the following is not an”, the correct choice is https://www.amazon.in.</x:v>
      </x:c>
      <x:c r="N44" s="60" t="str">
        <x:v>GE1FH</x:v>
      </x:c>
      <x:c r="O44" s="60" t="str">
        <x:v>Computer Applications</x:v>
      </x:c>
      <x:c r="P44" s="60" t="str">
        <x:v>Automated structural screening passed. Rewrite the explanation to teach the reasoning before publication. Mapped from Computer Applications.</x:v>
      </x:c>
    </x:row>
    <x:row r="45">
      <x:c r="A45" s="60" t="str">
        <x:v>QB-0055</x:v>
      </x:c>
      <x:c r="B45" s="62" t="n">
        <x:v>55</x:v>
      </x:c>
      <x:c r="C45" s="60" t="str">
        <x:v>Computer</x:v>
      </x:c>
      <x:c r="D45" s="60" t="str">
        <x:v>Medium</x:v>
      </x:c>
      <x:c r="E45" s="60" t="str">
        <x:v>Computing Fundamentals</x:v>
      </x:c>
      <x:c r="F45" s="60" t="str">
        <x:v>Suhani asks her colleague for her project work and then copies the entire work and submits it to her team leader claiming it to be her own work. The act performed by Suhani is known as ____________ .</x:v>
      </x:c>
      <x:c r="G45" s="60" t="str">
        <x:v>Phishing</x:v>
      </x:c>
      <x:c r="H45" s="60" t="str">
        <x:v>Plagiarism</x:v>
      </x:c>
      <x:c r="I45" s="60" t="str">
        <x:v>Spamming</x:v>
      </x:c>
      <x:c r="J45" s="60" t="str">
        <x:v>Virus</x:v>
      </x:c>
      <x:c r="K45" s="60" t="str">
        <x:v>B</x:v>
      </x:c>
      <x:c r="L45" s="60" t="str">
        <x:v>Plagiarism</x:v>
      </x:c>
      <x:c r="M45" s="60" t="str">
        <x:v>For the computing task “Suhani asks her colleague for her project”, the correct choice is Plagiarism.</x:v>
      </x:c>
      <x:c r="N45" s="60" t="str">
        <x:v>WYZXW</x:v>
      </x:c>
      <x:c r="O45" s="60" t="str">
        <x:v>Computer Applications</x:v>
      </x:c>
      <x:c r="P45" s="60" t="str">
        <x:v>Automated structural screening passed. Rewrite the explanation to teach the reasoning before publication. Mapped from Computer Applications.</x:v>
      </x:c>
    </x:row>
    <x:row r="46">
      <x:c r="A46" s="60" t="str">
        <x:v>QB-0056</x:v>
      </x:c>
      <x:c r="B46" s="62" t="n">
        <x:v>56</x:v>
      </x:c>
      <x:c r="C46" s="60" t="str">
        <x:v>Computer</x:v>
      </x:c>
      <x:c r="D46" s="60" t="str">
        <x:v>Easy</x:v>
      </x:c>
      <x:c r="E46" s="60" t="str">
        <x:v>Internet &amp; Networks</x:v>
      </x:c>
      <x:c r="F46" s="60" t="str">
        <x:v>The protocol that is used to send e-mails is __________ .</x:v>
      </x:c>
      <x:c r="G46" s="60" t="str">
        <x:v>HTTP</x:v>
      </x:c>
      <x:c r="H46" s="60" t="str">
        <x:v>POP</x:v>
      </x:c>
      <x:c r="I46" s="60" t="str">
        <x:v>SMTP</x:v>
      </x:c>
      <x:c r="J46" s="60" t="str">
        <x:v>FTP</x:v>
      </x:c>
      <x:c r="K46" s="60" t="str">
        <x:v>C</x:v>
      </x:c>
      <x:c r="L46" s="60" t="str">
        <x:v>SMTP</x:v>
      </x:c>
      <x:c r="M46" s="60" t="str">
        <x:v>The named network function is performed by SMTP.</x:v>
      </x:c>
      <x:c r="N46" s="60" t="str">
        <x:v>WYZXW</x:v>
      </x:c>
      <x:c r="O46" s="60" t="str">
        <x:v>Computer Applications</x:v>
      </x:c>
      <x:c r="P46" s="60" t="str">
        <x:v>Automated structural screening passed. Rewrite the explanation to teach the reasoning before publication. Mapped from Computer Applications.</x:v>
      </x:c>
    </x:row>
    <x:row r="47">
      <x:c r="A47" s="60" t="str">
        <x:v>QB-0057</x:v>
      </x:c>
      <x:c r="B47" s="62" t="n">
        <x:v>57</x:v>
      </x:c>
      <x:c r="C47" s="60" t="str">
        <x:v>Computer</x:v>
      </x:c>
      <x:c r="D47" s="60" t="str">
        <x:v>Easy</x:v>
      </x:c>
      <x:c r="E47" s="60" t="str">
        <x:v>Digital Citizenship</x:v>
      </x:c>
      <x:c r="F47" s="60" t="str">
        <x:v>Which of the following is an e-Shopping portal?</x:v>
      </x:c>
      <x:c r="G47" s="60" t="str">
        <x:v>Diksha</x:v>
      </x:c>
      <x:c r="H47" s="60" t="str">
        <x:v>Swayam</x:v>
      </x:c>
      <x:c r="I47" s="60" t="str">
        <x:v>Flipkart</x:v>
      </x:c>
      <x:c r="J47" s="60" t="str">
        <x:v>NPTEL</x:v>
      </x:c>
      <x:c r="K47" s="60" t="str">
        <x:v>C</x:v>
      </x:c>
      <x:c r="L47" s="60" t="str">
        <x:v>Flipkart</x:v>
      </x:c>
      <x:c r="M47" s="60" t="str">
        <x:v>For the computing task “Which of the following is an e”, the correct choice is Flipkart.</x:v>
      </x:c>
      <x:c r="N47" s="60" t="str">
        <x:v>WYZXW</x:v>
      </x:c>
      <x:c r="O47" s="60" t="str">
        <x:v>Computer Applications</x:v>
      </x:c>
      <x:c r="P47" s="60" t="str">
        <x:v>Automated structural screening passed. Rewrite the explanation to teach the reasoning before publication. Mapped from Computer Applications.</x:v>
      </x:c>
    </x:row>
    <x:row r="48">
      <x:c r="A48" s="60" t="str">
        <x:v>QB-0058</x:v>
      </x:c>
      <x:c r="B48" s="62" t="n">
        <x:v>58</x:v>
      </x:c>
      <x:c r="C48" s="60" t="str">
        <x:v>Computer</x:v>
      </x:c>
      <x:c r="D48" s="60" t="str">
        <x:v>Easy</x:v>
      </x:c>
      <x:c r="E48" s="60" t="str">
        <x:v>Digital Citizenship</x:v>
      </x:c>
      <x:c r="F48" s="60" t="str">
        <x:v>Which of the following is not an e-Governance portal?</x:v>
      </x:c>
      <x:c r="G48" s="60" t="str">
        <x:v>e-Aadhaar</x:v>
      </x:c>
      <x:c r="H48" s="60" t="str">
        <x:v>DigiLocker</x:v>
      </x:c>
      <x:c r="I48" s="60" t="str">
        <x:v>Sarathi</x:v>
      </x:c>
      <x:c r="J48" s="60" t="str">
        <x:v>Zomato</x:v>
      </x:c>
      <x:c r="K48" s="60" t="str">
        <x:v>D</x:v>
      </x:c>
      <x:c r="L48" s="60" t="str">
        <x:v>Zomato</x:v>
      </x:c>
      <x:c r="M48" s="60" t="str">
        <x:v>For the computing task “Which of the following is not an”, the correct choice is Zomato.</x:v>
      </x:c>
      <x:c r="N48" s="60" t="str">
        <x:v>WYZXW</x:v>
      </x:c>
      <x:c r="O48" s="60" t="str">
        <x:v>Computer Applications</x:v>
      </x:c>
      <x:c r="P48" s="60" t="str">
        <x:v>Automated structural screening passed. Rewrite the explanation to teach the reasoning before publication. Mapped from Computer Applications.</x:v>
      </x:c>
    </x:row>
    <x:row r="49">
      <x:c r="A49" s="60" t="str">
        <x:v>QB-0059</x:v>
      </x:c>
      <x:c r="B49" s="62" t="n">
        <x:v>59</x:v>
      </x:c>
      <x:c r="C49" s="60" t="str">
        <x:v>Computer</x:v>
      </x:c>
      <x:c r="D49" s="60" t="str">
        <x:v>Easy</x:v>
      </x:c>
      <x:c r="E49" s="60" t="str">
        <x:v>Computing Fundamentals</x:v>
      </x:c>
      <x:c r="F49" s="60" t="str">
        <x:v>Which of the following is the correct expansion of SMS?</x:v>
      </x:c>
      <x:c r="G49" s="60" t="str">
        <x:v>Small Message Service</x:v>
      </x:c>
      <x:c r="H49" s="60" t="str">
        <x:v>Small Multimedia Service</x:v>
      </x:c>
      <x:c r="I49" s="60" t="str">
        <x:v>Short Multimedia Service</x:v>
      </x:c>
      <x:c r="J49" s="60" t="str">
        <x:v>Short Message Service</x:v>
      </x:c>
      <x:c r="K49" s="60" t="str">
        <x:v>D</x:v>
      </x:c>
      <x:c r="L49" s="60" t="str">
        <x:v>Short Message Service</x:v>
      </x:c>
      <x:c r="M49" s="60" t="str">
        <x:v>For the computing task “Which of the following is the correct”, the correct choice is Short Message Service.</x:v>
      </x:c>
      <x:c r="N49" s="60" t="str">
        <x:v>WYZXW</x:v>
      </x:c>
      <x:c r="O49" s="60" t="str">
        <x:v>Computer Applications</x:v>
      </x:c>
      <x:c r="P49" s="60" t="str">
        <x:v>Automated structural screening passed. Rewrite the explanation to teach the reasoning before publication. Mapped from Computer Applications.</x:v>
      </x:c>
    </x:row>
    <x:row r="50">
      <x:c r="A50" s="60" t="str">
        <x:v>QB-0060</x:v>
      </x:c>
      <x:c r="B50" s="62" t="n">
        <x:v>60</x:v>
      </x:c>
      <x:c r="C50" s="60" t="str">
        <x:v>Computer</x:v>
      </x:c>
      <x:c r="D50" s="60" t="str">
        <x:v>Easy</x:v>
      </x:c>
      <x:c r="E50" s="60" t="str">
        <x:v>Web &amp; HTML</x:v>
      </x:c>
      <x:c r="F50" s="60" t="str">
        <x:v>Which of the following options is an INVALID attribute of &lt;font&gt; tag in HTML?</x:v>
      </x:c>
      <x:c r="G50" s="60" t="str">
        <x:v>face</x:v>
      </x:c>
      <x:c r="H50" s="60" t="str">
        <x:v>width</x:v>
      </x:c>
      <x:c r="I50" s="60" t="str">
        <x:v>size</x:v>
      </x:c>
      <x:c r="J50" s="60" t="str">
        <x:v>color</x:v>
      </x:c>
      <x:c r="K50" s="60" t="str">
        <x:v>B</x:v>
      </x:c>
      <x:c r="L50" s="60" t="str">
        <x:v>width</x:v>
      </x:c>
      <x:c r="M50" s="60" t="str">
        <x:v>HTML defines width as the matching choice here.</x:v>
      </x:c>
      <x:c r="N50" s="60" t="str">
        <x:v>WYZXW</x:v>
      </x:c>
      <x:c r="O50" s="60" t="str">
        <x:v>Computer Applications</x:v>
      </x:c>
      <x:c r="P50" s="60" t="str">
        <x:v>Automated structural screening passed. Rewrite the explanation to teach the reasoning before publication. Render HTML tags as escaped code text. Mapped from Computer Applications.</x:v>
      </x:c>
    </x:row>
    <x:row r="51">
      <x:c r="A51" s="60" t="str">
        <x:v>QB-0061</x:v>
      </x:c>
      <x:c r="B51" s="62" t="n">
        <x:v>61</x:v>
      </x:c>
      <x:c r="C51" s="60" t="str">
        <x:v>Computer</x:v>
      </x:c>
      <x:c r="D51" s="60" t="str">
        <x:v>Easy</x:v>
      </x:c>
      <x:c r="E51" s="60" t="str">
        <x:v>Web &amp; HTML</x:v>
      </x:c>
      <x:c r="F51" s="60" t="str">
        <x:v>Which of the following is not an attribute of the HTML &lt;font&gt; tag?</x:v>
      </x:c>
      <x:c r="G51" s="60" t="str">
        <x:v>face</x:v>
      </x:c>
      <x:c r="H51" s="60" t="str">
        <x:v>width</x:v>
      </x:c>
      <x:c r="I51" s="60" t="str">
        <x:v>size</x:v>
      </x:c>
      <x:c r="J51" s="60" t="str">
        <x:v>color</x:v>
      </x:c>
      <x:c r="K51" s="60" t="str">
        <x:v>B</x:v>
      </x:c>
      <x:c r="L51" s="60" t="str">
        <x:v>width</x:v>
      </x:c>
      <x:c r="M51" s="60" t="str">
        <x:v>HTML defines width as the matching choice here.</x:v>
      </x:c>
      <x:c r="N51" s="60" t="str">
        <x:v>WYZXW/C</x:v>
      </x:c>
      <x:c r="O51" s="60" t="str">
        <x:v>Computer Applications</x:v>
      </x:c>
      <x:c r="P51" s="60" t="str">
        <x:v>Automated structural screening passed. Rewrite the explanation to teach the reasoning before publication. Render HTML tags as escaped code text. Mapped from Computer Applications.</x:v>
      </x:c>
    </x:row>
    <x:row r="52">
      <x:c r="A52" s="60" t="str">
        <x:v>QB-0062</x:v>
      </x:c>
      <x:c r="B52" s="62" t="n">
        <x:v>62</x:v>
      </x:c>
      <x:c r="C52" s="60" t="str">
        <x:v>Mathematics</x:v>
      </x:c>
      <x:c r="D52" s="60" t="str">
        <x:v>Hard</x:v>
      </x:c>
      <x:c r="E52" s="60" t="str">
        <x:v>Trigonometry</x:v>
      </x:c>
      <x:c r="F52" s="60" t="str">
        <x:v>HCF of two consecutive natural numbers is</x:v>
      </x:c>
      <x:c r="G52" s="60" t="str">
        <x:v>2</x:v>
      </x:c>
      <x:c r="H52" s="60" t="str">
        <x:v>1</x:v>
      </x:c>
      <x:c r="I52" s="60" t="str">
        <x:v>0</x:v>
      </x:c>
      <x:c r="J52" s="60" t="str">
        <x:v>smaller number</x:v>
      </x:c>
      <x:c r="K52" s="60" t="str">
        <x:v>A</x:v>
      </x:c>
      <x:c r="L52" s="60" t="str">
        <x:v>2</x:v>
      </x:c>
      <x:c r="M52" s="60" t="str">
        <x:v>Prime factorisation of the stated numbers gives 2.</x:v>
      </x:c>
      <x:c r="N52" s="60" t="str">
        <x:v>4MNKL</x:v>
      </x:c>
      <x:c r="O52" s="60" t="str">
        <x:v>Mathematics</x:v>
      </x:c>
      <x:c r="P52" s="60" t="str">
        <x:v>Automated structural screening passed. Rewrite the explanation to teach the reasoning before publication.</x:v>
      </x:c>
    </x:row>
    <x:row r="53">
      <x:c r="A53" s="60" t="str">
        <x:v>QB-0065</x:v>
      </x:c>
      <x:c r="B53" s="62" t="n">
        <x:v>65</x:v>
      </x:c>
      <x:c r="C53" s="60" t="str">
        <x:v>Mathematics</x:v>
      </x:c>
      <x:c r="D53" s="60" t="str">
        <x:v>Hard</x:v>
      </x:c>
      <x:c r="E53" s="60" t="str">
        <x:v>Trigonometry</x:v>
      </x:c>
      <x:c r="F53" s="60" t="str">
        <x:v>The distance between the points (– 1, 22) and (2, 2) is</x:v>
      </x:c>
      <x:c r="G53" s="60" t="str">
        <x:v>5 units</x:v>
      </x:c>
      <x:c r="H53" s="60" t="str">
        <x:v>11 units</x:v>
      </x:c>
      <x:c r="I53" s="60" t="str">
        <x:v>13 units</x:v>
      </x:c>
      <x:c r="J53" s="60" t="str">
        <x:v>7 units</x:v>
      </x:c>
      <x:c r="K53" s="60" t="str">
        <x:v>C</x:v>
      </x:c>
      <x:c r="L53" s="60" t="str">
        <x:v>13 units</x:v>
      </x:c>
      <x:c r="M53" s="60" t="str">
        <x:v>The coordinate formula for “The distance between the points 1 22” gives 13 units.</x:v>
      </x:c>
      <x:c r="N53" s="60" t="str">
        <x:v>4MNKL</x:v>
      </x:c>
      <x:c r="O53" s="60" t="str">
        <x:v>Mathematics</x:v>
      </x:c>
      <x:c r="P53" s="60" t="str">
        <x:v>Automated structural screening passed. Rewrite the explanation to teach the reasoning before publication.</x:v>
      </x:c>
    </x:row>
    <x:row r="54">
      <x:c r="A54" s="60" t="str">
        <x:v>QB-0066</x:v>
      </x:c>
      <x:c r="B54" s="62" t="n">
        <x:v>66</x:v>
      </x:c>
      <x:c r="C54" s="60" t="str">
        <x:v>Mathematics</x:v>
      </x:c>
      <x:c r="D54" s="60" t="str">
        <x:v>Easy</x:v>
      </x:c>
      <x:c r="E54" s="60" t="str">
        <x:v>General Mathematics</x:v>
      </x:c>
      <x:c r="F54" s="60" t="str">
        <x:v>Its common difference is</x:v>
      </x:c>
      <x:c r="G54" s="60" t="str">
        <x:v>2</x:v>
      </x:c>
      <x:c r="H54" s="60" t="str">
        <x:v>2n</x:v>
      </x:c>
      <x:c r="I54" s="60" t="str">
        <x:v>1</x:v>
      </x:c>
      <x:c r="J54" s="60" t="str">
        <x:v>2 +</x:v>
      </x:c>
      <x:c r="K54" s="60" t="str">
        <x:v>C</x:v>
      </x:c>
      <x:c r="L54" s="60" t="str">
        <x:v>1</x:v>
      </x:c>
      <x:c r="M54" s="60" t="str">
        <x:v>Substituting the given values for “Its common difference is” gives 1.</x:v>
      </x:c>
      <x:c r="N54" s="60" t="str">
        <x:v>4MNKL</x:v>
      </x:c>
      <x:c r="O54" s="60" t="str">
        <x:v>Mathematics</x:v>
      </x:c>
      <x:c r="P54" s="60" t="str">
        <x:v>Automated structural screening passed. Rewrite the explanation to teach the reasoning before publication.</x:v>
      </x:c>
    </x:row>
    <x:row r="55">
      <x:c r="A55" s="60" t="str">
        <x:v>QB-0071</x:v>
      </x:c>
      <x:c r="B55" s="62" t="n">
        <x:v>71</x:v>
      </x:c>
      <x:c r="C55" s="60" t="str">
        <x:v>Mathematics</x:v>
      </x:c>
      <x:c r="D55" s="60" t="str">
        <x:v>Hard</x:v>
      </x:c>
      <x:c r="E55" s="60" t="str">
        <x:v>Trigonometry</x:v>
      </x:c>
      <x:c r="F55" s="60" t="str">
        <x:v>From an external point P, a tangent PT has been drawn to a circle with centre at O and radius 3 cm, intersecting its concentric circle at A and B. If AB = 8 cm and OA = AP, the length PQ equals.</x:v>
      </x:c>
      <x:c r="G55" s="60" t="str">
        <x:v>8 cm</x:v>
      </x:c>
      <x:c r="H55" s="60" t="str">
        <x:v>10 cm</x:v>
      </x:c>
      <x:c r="I55" s="60" t="str">
        <x:v>9 cm</x:v>
      </x:c>
      <x:c r="J55" s="60" t="str">
        <x:v>12 cm</x:v>
      </x:c>
      <x:c r="K55" s="60" t="str">
        <x:v>B</x:v>
      </x:c>
      <x:c r="L55" s="60" t="str">
        <x:v>10 cm</x:v>
      </x:c>
      <x:c r="M55" s="60" t="str">
        <x:v>Favourable outcomes divided by all equally likely outcomes gives 10 cm.</x:v>
      </x:c>
      <x:c r="N55" s="60" t="str">
        <x:v>4MNKL</x:v>
      </x:c>
      <x:c r="O55" s="60" t="str">
        <x:v>Mathematics</x:v>
      </x:c>
      <x:c r="P55" s="60" t="str">
        <x:v>Automated structural screening passed. Rewrite the explanation to teach the reasoning before publication.</x:v>
      </x:c>
    </x:row>
    <x:row r="56">
      <x:c r="A56" s="60" t="str">
        <x:v>QB-0072</x:v>
      </x:c>
      <x:c r="B56" s="62" t="n">
        <x:v>72</x:v>
      </x:c>
      <x:c r="C56" s="60" t="str">
        <x:v>Mathematics</x:v>
      </x:c>
      <x:c r="D56" s="60" t="str">
        <x:v>Medium</x:v>
      </x:c>
      <x:c r="E56" s="60" t="str">
        <x:v>Linear Equations</x:v>
      </x:c>
      <x:c r="F56" s="60" t="str">
        <x:v>The value of k for which the system of linear equations kx – y – 2 = 0 and 6x – 2y – 3 = 0 has infinitely many solutions, is (does)</x:v>
      </x:c>
      <x:c r="G56" s="60" t="str">
        <x:v>2</x:v>
      </x:c>
      <x:c r="H56" s="60" t="str">
        <x:v>3</x:v>
      </x:c>
      <x:c r="I56" s="60" t="str">
        <x:v>4</x:v>
      </x:c>
      <x:c r="J56" s="60" t="str">
        <x:v>Not exist</x:v>
      </x:c>
      <x:c r="K56" s="60" t="str">
        <x:v>B</x:v>
      </x:c>
      <x:c r="L56" s="60" t="str">
        <x:v>3</x:v>
      </x:c>
      <x:c r="M56" s="60" t="str">
        <x:v>Substituting the given values for “The value of k for which the” gives 3.</x:v>
      </x:c>
      <x:c r="N56" s="60" t="str">
        <x:v>4MNKL</x:v>
      </x:c>
      <x:c r="O56" s="60" t="str">
        <x:v>Mathematics</x:v>
      </x:c>
      <x:c r="P56" s="60" t="str">
        <x:v>Automated structural screening passed. Rewrite the explanation to teach the reasoning before publication.</x:v>
      </x:c>
    </x:row>
    <x:row r="57">
      <x:c r="A57" s="60" t="str">
        <x:v>QB-0075</x:v>
      </x:c>
      <x:c r="B57" s="62" t="n">
        <x:v>75</x:v>
      </x:c>
      <x:c r="C57" s="60" t="str">
        <x:v>Mathematics</x:v>
      </x:c>
      <x:c r="D57" s="60" t="str">
        <x:v>Easy</x:v>
      </x:c>
      <x:c r="E57" s="60" t="str">
        <x:v>General Mathematics</x:v>
      </x:c>
      <x:c r="F57" s="60" t="str">
        <x:v>Which of the following statements is not always true?</x:v>
      </x:c>
      <x:c r="G57" s="60" t="str">
        <x:v>Two circles are similar.</x:v>
      </x:c>
      <x:c r="H57" s="60" t="str">
        <x:v>Two isosceles right triangles are similar.</x:v>
      </x:c>
      <x:c r="I57" s="60" t="str">
        <x:v>Two rectangles are similar.</x:v>
      </x:c>
      <x:c r="J57" s="60" t="str">
        <x:v>Two equilateral triangles are similar.</x:v>
      </x:c>
      <x:c r="K57" s="60" t="str">
        <x:v>A</x:v>
      </x:c>
      <x:c r="L57" s="60" t="str">
        <x:v>Two circles are similar.</x:v>
      </x:c>
      <x:c r="M57" s="60" t="str">
        <x:v>Substituting the given values for “Which of the following statements is not” gives Two circles are similar..</x:v>
      </x:c>
      <x:c r="N57" s="60" t="str">
        <x:v>5LMKN</x:v>
      </x:c>
      <x:c r="O57" s="60" t="str">
        <x:v>Mathematics</x:v>
      </x:c>
      <x:c r="P57" s="60" t="str">
        <x:v>Automated structural screening passed. Rewrite the explanation to teach the reasoning before publication.</x:v>
      </x:c>
    </x:row>
    <x:row r="58">
      <x:c r="A58" s="60" t="str">
        <x:v>QB-0080</x:v>
      </x:c>
      <x:c r="B58" s="62" t="n">
        <x:v>80</x:v>
      </x:c>
      <x:c r="C58" s="60" t="str">
        <x:v>Mathematics</x:v>
      </x:c>
      <x:c r="D58" s="60" t="str">
        <x:v>Hard</x:v>
      </x:c>
      <x:c r="E58" s="60" t="str">
        <x:v>Circle Theorems</x:v>
      </x:c>
      <x:c r="F58" s="60" t="str">
        <x:v>The length of a pendulum is 70 cm and it describes an arc of length 88 cm when swings. The angle subtended by the arc at the centre is</x:v>
      </x:c>
      <x:c r="G58" s="60" t="str">
        <x:v>36º</x:v>
      </x:c>
      <x:c r="H58" s="60" t="str">
        <x:v>70º</x:v>
      </x:c>
      <x:c r="I58" s="60" t="str">
        <x:v>72º</x:v>
      </x:c>
      <x:c r="J58" s="60" t="str">
        <x:v>80º</x:v>
      </x:c>
      <x:c r="K58" s="60" t="str">
        <x:v>A</x:v>
      </x:c>
      <x:c r="L58" s="60" t="str">
        <x:v>36º</x:v>
      </x:c>
      <x:c r="M58" s="60" t="str">
        <x:v>The relevant circle measure for “The length of a pendulum is 70” is 36º.</x:v>
      </x:c>
      <x:c r="N58" s="60" t="str">
        <x:v>5LMKN</x:v>
      </x:c>
      <x:c r="O58" s="60" t="str">
        <x:v>Mathematics</x:v>
      </x:c>
      <x:c r="P58" s="60" t="str">
        <x:v>Automated structural screening passed. Rewrite the explanation to teach the reasoning before publication.</x:v>
      </x:c>
    </x:row>
    <x:row r="59">
      <x:c r="A59" s="60" t="str">
        <x:v>QB-0082</x:v>
      </x:c>
      <x:c r="B59" s="62" t="n">
        <x:v>82</x:v>
      </x:c>
      <x:c r="C59" s="60" t="str">
        <x:v>Mathematics</x:v>
      </x:c>
      <x:c r="D59" s="60" t="str">
        <x:v>Medium</x:v>
      </x:c>
      <x:c r="E59" s="60" t="str">
        <x:v>Mensuration</x:v>
      </x:c>
      <x:c r="F59" s="60" t="str">
        <x:v>The total surface area of a solid cone of radius 7 cm and slant height 25 cm, is</x:v>
      </x:c>
      <x:c r="G59" s="60" t="str">
        <x:v>724 cm 2</x:v>
      </x:c>
      <x:c r="H59" s="60" t="str">
        <x:v>704 cm 2</x:v>
      </x:c>
      <x:c r="I59" s="60" t="str">
        <x:v>550 cm 2</x:v>
      </x:c>
      <x:c r="J59" s="60" t="str">
        <x:v>616 cm 2</x:v>
      </x:c>
      <x:c r="K59" s="60" t="str">
        <x:v>B</x:v>
      </x:c>
      <x:c r="L59" s="60" t="str">
        <x:v>704 cm 2</x:v>
      </x:c>
      <x:c r="M59" s="60" t="str">
        <x:v>The stated mensuration formula evaluates to 704 cm 2.</x:v>
      </x:c>
      <x:c r="N59" s="60" t="str">
        <x:v>5LMKN</x:v>
      </x:c>
      <x:c r="O59" s="60" t="str">
        <x:v>Mathematics</x:v>
      </x:c>
      <x:c r="P59" s="60" t="str">
        <x:v>Automated structural screening passed. Rewrite the explanation to teach the reasoning before publication.</x:v>
      </x:c>
    </x:row>
    <x:row r="60">
      <x:c r="A60" s="60" t="str">
        <x:v>QB-0088</x:v>
      </x:c>
      <x:c r="B60" s="62" t="n">
        <x:v>88</x:v>
      </x:c>
      <x:c r="C60" s="60" t="str">
        <x:v>Mathematics</x:v>
      </x:c>
      <x:c r="D60" s="60" t="str">
        <x:v>Hard</x:v>
      </x:c>
      <x:c r="E60" s="60" t="str">
        <x:v>Trigonometry</x:v>
      </x:c>
      <x:c r="F60" s="60" t="str">
        <x:v>PQ is tangent to a circle with centre O. If OQ = a, OP = a + 2 and PQ = 2b, then relation between a and b is</x:v>
      </x:c>
      <x:c r="G60" s="60" t="str">
        <x:v>a2 + (a + 2)2 = (2b)2</x:v>
      </x:c>
      <x:c r="H60" s="60" t="str">
        <x:v>b 2 = a + 4</x:v>
      </x:c>
      <x:c r="I60" s="60" t="str">
        <x:v>2a 2 + 1 = b2</x:v>
      </x:c>
      <x:c r="J60" s="60" t="str">
        <x:v>b 2 = a +</x:v>
      </x:c>
      <x:c r="K60" s="60" t="str">
        <x:v>C</x:v>
      </x:c>
      <x:c r="L60" s="60" t="str">
        <x:v>2a 2 + 1 = b2</x:v>
      </x:c>
      <x:c r="M60" s="60" t="str">
        <x:v>The relevant circle measure for “PQ is tangent to a circle with” is 2a 2 + 1 = b2.</x:v>
      </x:c>
      <x:c r="N60" s="60" t="str">
        <x:v>5LMKN</x:v>
      </x:c>
      <x:c r="O60" s="60" t="str">
        <x:v>Mathematics</x:v>
      </x:c>
      <x:c r="P60" s="60" t="str">
        <x:v>Automated structural screening passed. Rewrite the explanation to teach the reasoning before publication.</x:v>
      </x:c>
    </x:row>
    <x:row r="61">
      <x:c r="A61" s="60" t="str">
        <x:v>QB-0091</x:v>
      </x:c>
      <x:c r="B61" s="62" t="n">
        <x:v>91</x:v>
      </x:c>
      <x:c r="C61" s="60" t="str">
        <x:v>Mathematics</x:v>
      </x:c>
      <x:c r="D61" s="60" t="str">
        <x:v>Hard</x:v>
      </x:c>
      <x:c r="E61" s="60" t="str">
        <x:v>Trigonometry</x:v>
      </x:c>
      <x:c r="F61" s="60" t="str">
        <x:v>A lamp post 9 m high casts a shadow 3 3 m long on the ground. The S un’s elevation at this moment is</x:v>
      </x:c>
      <x:c r="G61" s="60" t="str">
        <x:v>60 °</x:v>
      </x:c>
      <x:c r="H61" s="60" t="str">
        <x:v>90 °</x:v>
      </x:c>
      <x:c r="I61" s="60" t="str">
        <x:v>45 °</x:v>
      </x:c>
      <x:c r="J61" s="60" t="str">
        <x:v>30 °</x:v>
      </x:c>
      <x:c r="K61" s="60" t="str">
        <x:v>C</x:v>
      </x:c>
      <x:c r="L61" s="60" t="str">
        <x:v>45 °</x:v>
      </x:c>
      <x:c r="M61" s="60" t="str">
        <x:v>Substituting the given values for “A lamp post 9 m high casts” gives 45 °.</x:v>
      </x:c>
      <x:c r="N61" s="60" t="str">
        <x:v>C4ABD/4</x:v>
      </x:c>
      <x:c r="O61" s="60" t="str">
        <x:v>Mathematics</x:v>
      </x:c>
      <x:c r="P61" s="60" t="str">
        <x:v>Automated structural screening passed. Rewrite the explanation to teach the reasoning before publication.</x:v>
      </x:c>
    </x:row>
    <x:row r="62">
      <x:c r="A62" s="60" t="str">
        <x:v>QB-0092</x:v>
      </x:c>
      <x:c r="B62" s="62" t="n">
        <x:v>92</x:v>
      </x:c>
      <x:c r="C62" s="60" t="str">
        <x:v>Mathematics</x:v>
      </x:c>
      <x:c r="D62" s="60" t="str">
        <x:v>Hard</x:v>
      </x:c>
      <x:c r="E62" s="60" t="str">
        <x:v>Circle Theorems</x:v>
      </x:c>
      <x:c r="F62" s="60" t="str">
        <x:v>In a circle of radius 21 cm, if an arc subtends an angle of 60° at the centre of the circle, then the length of the arc is</x:v>
      </x:c>
      <x:c r="G62" s="60" t="str">
        <x:v>11 cm</x:v>
      </x:c>
      <x:c r="H62" s="60" t="str">
        <x:v>44 cm</x:v>
      </x:c>
      <x:c r="I62" s="60" t="str">
        <x:v>7 22 cm</x:v>
      </x:c>
      <x:c r="J62" s="60" t="str">
        <x:v>22 cm</x:v>
      </x:c>
      <x:c r="K62" s="60" t="str">
        <x:v>A</x:v>
      </x:c>
      <x:c r="L62" s="60" t="str">
        <x:v>11 cm</x:v>
      </x:c>
      <x:c r="M62" s="60" t="str">
        <x:v>The relevant circle measure for “In a circle of radius 21 cm” is 11 cm.</x:v>
      </x:c>
      <x:c r="N62" s="60" t="str">
        <x:v>C4ABD/4</x:v>
      </x:c>
      <x:c r="O62" s="60" t="str">
        <x:v>Mathematics</x:v>
      </x:c>
      <x:c r="P62" s="60" t="str">
        <x:v>Automated structural screening passed. Rewrite the explanation to teach the reasoning before publication.</x:v>
      </x:c>
    </x:row>
    <x:row r="63">
      <x:c r="A63" s="60" t="str">
        <x:v>QB-0097</x:v>
      </x:c>
      <x:c r="B63" s="62" t="n">
        <x:v>97</x:v>
      </x:c>
      <x:c r="C63" s="60" t="str">
        <x:v>Mathematics</x:v>
      </x:c>
      <x:c r="D63" s="60" t="str">
        <x:v>Hard</x:v>
      </x:c>
      <x:c r="E63" s="60" t="str">
        <x:v>Quadratic Equations &amp; Polynomials</x:v>
      </x:c>
      <x:c r="F63" s="60" t="str">
        <x:v>The root(s) of the quadratic equation x 2 – 25 = 0 is/are</x:v>
      </x:c>
      <x:c r="G63" s="60" t="str">
        <x:v>5</x:v>
      </x:c>
      <x:c r="H63" s="60" t="str">
        <x:v>– 5, 5</x:v>
      </x:c>
      <x:c r="I63" s="60" t="str">
        <x:v>25</x:v>
      </x:c>
      <x:c r="J63" s="60" t="str">
        <x:v>– 25, 25</x:v>
      </x:c>
      <x:c r="K63" s="60" t="str">
        <x:v>B</x:v>
      </x:c>
      <x:c r="L63" s="60" t="str">
        <x:v>– 5, 5</x:v>
      </x:c>
      <x:c r="M63" s="60" t="str">
        <x:v>Substituting the given values for “The root s of the quadratic equation” gives – 5, 5.</x:v>
      </x:c>
      <x:c r="N63" s="60" t="str">
        <x:v>C4ABD/4</x:v>
      </x:c>
      <x:c r="O63" s="60" t="str">
        <x:v>Mathematics</x:v>
      </x:c>
      <x:c r="P63" s="60" t="str">
        <x:v>Automated structural screening passed. Rewrite the explanation to teach the reasoning before publication.</x:v>
      </x:c>
    </x:row>
    <x:row r="64">
      <x:c r="A64" s="60" t="str">
        <x:v>QB-0100</x:v>
      </x:c>
      <x:c r="B64" s="62" t="n">
        <x:v>100</x:v>
      </x:c>
      <x:c r="C64" s="60" t="str">
        <x:v>Mathematics</x:v>
      </x:c>
      <x:c r="D64" s="60" t="str">
        <x:v>Hard</x:v>
      </x:c>
      <x:c r="E64" s="60" t="str">
        <x:v>Trigonometry</x:v>
      </x:c>
      <x:c r="F64" s="60" t="str">
        <x:v>The area of the sector of a circle with radius 6 cm which subtends an angle of 60° at the centre of the circle is</x:v>
      </x:c>
      <x:c r="G64" s="60" t="str">
        <x:v>7 142 cm 2</x:v>
      </x:c>
      <x:c r="H64" s="60" t="str">
        <x:v>7 152 cm 2</x:v>
      </x:c>
      <x:c r="I64" s="60" t="str">
        <x:v>7 132 cm 2</x:v>
      </x:c>
      <x:c r="J64" s="60" t="str">
        <x:v>7 122 cm 2</x:v>
      </x:c>
      <x:c r="K64" s="60" t="str">
        <x:v>B</x:v>
      </x:c>
      <x:c r="L64" s="60" t="str">
        <x:v>7 152 cm 2</x:v>
      </x:c>
      <x:c r="M64" s="60" t="str">
        <x:v>The relevant circle measure for “The area of the sector of a” is 7 152 cm 2.</x:v>
      </x:c>
      <x:c r="N64" s="60" t="str">
        <x:v>C4ABD/4</x:v>
      </x:c>
      <x:c r="O64" s="60" t="str">
        <x:v>Mathematics</x:v>
      </x:c>
      <x:c r="P64" s="60" t="str">
        <x:v>Automated structural screening passed. Rewrite the explanation to teach the reasoning before publication.</x:v>
      </x:c>
    </x:row>
    <x:row r="65">
      <x:c r="A65" s="60" t="str">
        <x:v>QB-0101</x:v>
      </x:c>
      <x:c r="B65" s="62" t="n">
        <x:v>101</x:v>
      </x:c>
      <x:c r="C65" s="60" t="str">
        <x:v>Mathematics</x:v>
      </x:c>
      <x:c r="D65" s="60" t="str">
        <x:v>Medium</x:v>
      </x:c>
      <x:c r="E65" s="60" t="str">
        <x:v>Statistics</x:v>
      </x:c>
      <x:c r="F65" s="60" t="str">
        <x:v>The following distribution gives the daily income of 50 workers of a factory : Income (in &lt; ) 400 – 424 425 – 449 450 – 474 475 – 499 500 – 5 24 Number of workers 12 14 8 6 10 The lower limit of the modal class is</x:v>
      </x:c>
      <x:c r="G65" s="60" t="str">
        <x:v>425</x:v>
      </x:c>
      <x:c r="H65" s="60" t="str">
        <x:v>449</x:v>
      </x:c>
      <x:c r="I65" s="60" t="str">
        <x:v>424·5</x:v>
      </x:c>
      <x:c r="J65" s="60" t="str">
        <x:v>425·5</x:v>
      </x:c>
      <x:c r="K65" s="60" t="str">
        <x:v>D</x:v>
      </x:c>
      <x:c r="L65" s="60" t="str">
        <x:v>425·5</x:v>
      </x:c>
      <x:c r="M65" s="60" t="str">
        <x:v>Substituting the given values for “The following distribution gives the daily income” gives 425·5.</x:v>
      </x:c>
      <x:c r="N65" s="60" t="str">
        <x:v>C4ABD/4</x:v>
      </x:c>
      <x:c r="O65" s="60" t="str">
        <x:v>Mathematics</x:v>
      </x:c>
      <x:c r="P65" s="60" t="str">
        <x:v>Automated structural screening passed. Rewrite the explanation to teach the reasoning before publication.</x:v>
      </x:c>
    </x:row>
    <x:row r="66">
      <x:c r="A66" s="60" t="str">
        <x:v>QB-0104</x:v>
      </x:c>
      <x:c r="B66" s="62" t="n">
        <x:v>104</x:v>
      </x:c>
      <x:c r="C66" s="60" t="str">
        <x:v>Mathematics</x:v>
      </x:c>
      <x:c r="D66" s="60" t="str">
        <x:v>Hard</x:v>
      </x:c>
      <x:c r="E66" s="60" t="str">
        <x:v>Trigonometry</x:v>
      </x:c>
      <x:c r="F66" s="60" t="str">
        <x:v>If the area of a sector of a circle is 8 1 of the area of the circle, then the central angle of the sector is</x:v>
      </x:c>
      <x:c r="G66" s="60" t="str">
        <x:v>30 °</x:v>
      </x:c>
      <x:c r="H66" s="60" t="str">
        <x:v>45 °</x:v>
      </x:c>
      <x:c r="I66" s="60" t="str">
        <x:v>60 °</x:v>
      </x:c>
      <x:c r="J66" s="60" t="str">
        <x:v>90 °</x:v>
      </x:c>
      <x:c r="K66" s="60" t="str">
        <x:v>A</x:v>
      </x:c>
      <x:c r="L66" s="60" t="str">
        <x:v>30 °</x:v>
      </x:c>
      <x:c r="M66" s="60" t="str">
        <x:v>The relevant circle measure for “If the area of a sector of” is 30 °.</x:v>
      </x:c>
      <x:c r="N66" s="60" t="str">
        <x:v>C5ABD/5</x:v>
      </x:c>
      <x:c r="O66" s="60" t="str">
        <x:v>Mathematics</x:v>
      </x:c>
      <x:c r="P66" s="60" t="str">
        <x:v>Automated structural screening passed. Rewrite the explanation to teach the reasoning before publication.</x:v>
      </x:c>
    </x:row>
    <x:row r="67">
      <x:c r="A67" s="60" t="str">
        <x:v>QB-0105</x:v>
      </x:c>
      <x:c r="B67" s="62" t="n">
        <x:v>105</x:v>
      </x:c>
      <x:c r="C67" s="60" t="str">
        <x:v>Mathematics</x:v>
      </x:c>
      <x:c r="D67" s="60" t="str">
        <x:v>Easy</x:v>
      </x:c>
      <x:c r="E67" s="60" t="str">
        <x:v>Statistics</x:v>
      </x:c>
      <x:c r="F67" s="60" t="str">
        <x:v>If the mean and mode of a frequency distribution are 28 and 16 respectively, then its median is</x:v>
      </x:c>
      <x:c r="G67" s="60" t="str">
        <x:v>22</x:v>
      </x:c>
      <x:c r="H67" s="60" t="str">
        <x:v>23·5</x:v>
      </x:c>
      <x:c r="I67" s="60" t="str">
        <x:v>24</x:v>
      </x:c>
      <x:c r="J67" s="60" t="str">
        <x:v>24·5</x:v>
      </x:c>
      <x:c r="K67" s="60" t="str">
        <x:v>D</x:v>
      </x:c>
      <x:c r="L67" s="60" t="str">
        <x:v>24·5</x:v>
      </x:c>
      <x:c r="M67" s="60" t="str">
        <x:v>Substituting the given data in the statistics formula gives 24·5.</x:v>
      </x:c>
      <x:c r="N67" s="60" t="str">
        <x:v>C5ABD/5</x:v>
      </x:c>
      <x:c r="O67" s="60" t="str">
        <x:v>Mathematics</x:v>
      </x:c>
      <x:c r="P67" s="60" t="str">
        <x:v>Automated structural screening passed. Rewrite the explanation to teach the reasoning before publication.</x:v>
      </x:c>
    </x:row>
    <x:row r="68">
      <x:c r="A68" s="60" t="str">
        <x:v>QB-0107</x:v>
      </x:c>
      <x:c r="B68" s="62" t="n">
        <x:v>107</x:v>
      </x:c>
      <x:c r="C68" s="60" t="str">
        <x:v>Mathematics</x:v>
      </x:c>
      <x:c r="D68" s="60" t="str">
        <x:v>Hard</x:v>
      </x:c>
      <x:c r="E68" s="60" t="str">
        <x:v>Circle Theorems</x:v>
      </x:c>
      <x:c r="F68" s="60" t="str">
        <x:v>The length of an arc of a circle wi th radius 12 cm is 10 π cm. The central angle subtended by this arc at the centre, is</x:v>
      </x:c>
      <x:c r="G68" s="60" t="str">
        <x:v>120 °</x:v>
      </x:c>
      <x:c r="H68" s="60" t="str">
        <x:v>6 °</x:v>
      </x:c>
      <x:c r="I68" s="60" t="str">
        <x:v>75 °</x:v>
      </x:c>
      <x:c r="J68" s="60" t="str">
        <x:v>150 °</x:v>
      </x:c>
      <x:c r="K68" s="60" t="str">
        <x:v>D</x:v>
      </x:c>
      <x:c r="L68" s="60" t="str">
        <x:v>150 °</x:v>
      </x:c>
      <x:c r="M68" s="60" t="str">
        <x:v>The relevant circle measure for “The length of an arc of a” is 150 °.</x:v>
      </x:c>
      <x:c r="N68" s="60" t="str">
        <x:v>C5ABD/5</x:v>
      </x:c>
      <x:c r="O68" s="60" t="str">
        <x:v>Mathematics</x:v>
      </x:c>
      <x:c r="P68" s="60" t="str">
        <x:v>Automated structural screening passed. Rewrite the explanation to teach the reasoning before publication.</x:v>
      </x:c>
    </x:row>
    <x:row r="69">
      <x:c r="A69" s="60" t="str">
        <x:v>QB-0111</x:v>
      </x:c>
      <x:c r="B69" s="62" t="n">
        <x:v>111</x:v>
      </x:c>
      <x:c r="C69" s="60" t="str">
        <x:v>Mathematics</x:v>
      </x:c>
      <x:c r="D69" s="60" t="str">
        <x:v>Hard</x:v>
      </x:c>
      <x:c r="E69" s="60" t="str">
        <x:v>Circle Theorems</x:v>
      </x:c>
      <x:c r="F69" s="60" t="str">
        <x:v>The area of a quadrant of a circle whose circumference is 22 cm, is</x:v>
      </x:c>
      <x:c r="G69" s="60" t="str">
        <x:v>4 11 cm 2</x:v>
      </x:c>
      <x:c r="H69" s="60" t="str">
        <x:v>2 11 cm 2</x:v>
      </x:c>
      <x:c r="I69" s="60" t="str">
        <x:v>4 33 cm 2</x:v>
      </x:c>
      <x:c r="J69" s="60" t="str">
        <x:v>8 77 cm 2</x:v>
      </x:c>
      <x:c r="K69" s="60" t="str">
        <x:v>D</x:v>
      </x:c>
      <x:c r="L69" s="60" t="str">
        <x:v>8 77 cm 2</x:v>
      </x:c>
      <x:c r="M69" s="60" t="str">
        <x:v>The relevant circle measure for “The area of a quadrant of a” is 8 77 cm 2.</x:v>
      </x:c>
      <x:c r="N69" s="60" t="str">
        <x:v>C5ABD/5</x:v>
      </x:c>
      <x:c r="O69" s="60" t="str">
        <x:v>Mathematics</x:v>
      </x:c>
      <x:c r="P69" s="60" t="str">
        <x:v>Automated structural screening passed. Rewrite the explanation to teach the reasoning before publication.</x:v>
      </x:c>
    </x:row>
    <x:row r="70">
      <x:c r="A70" s="60" t="str">
        <x:v>QB-0112</x:v>
      </x:c>
      <x:c r="B70" s="62" t="n">
        <x:v>112</x:v>
      </x:c>
      <x:c r="C70" s="60" t="str">
        <x:v>Mathematics</x:v>
      </x:c>
      <x:c r="D70" s="60" t="str">
        <x:v>Hard</x:v>
      </x:c>
      <x:c r="E70" s="60" t="str">
        <x:v>Trigonometry</x:v>
      </x:c>
      <x:c r="F70" s="60" t="str">
        <x:v>A lamp post 15 m high, casts a shadow 5 3 m long on the ground. The Sun’s elevation at this moment is</x:v>
      </x:c>
      <x:c r="G70" s="60" t="str">
        <x:v>90 °</x:v>
      </x:c>
      <x:c r="H70" s="60" t="str">
        <x:v>60 °</x:v>
      </x:c>
      <x:c r="I70" s="60" t="str">
        <x:v>45 °</x:v>
      </x:c>
      <x:c r="J70" s="60" t="str">
        <x:v>30 ° 1 5 - 6</x:v>
      </x:c>
      <x:c r="K70" s="60" t="str">
        <x:v>A</x:v>
      </x:c>
      <x:c r="L70" s="60" t="str">
        <x:v>90 °</x:v>
      </x:c>
      <x:c r="M70" s="60" t="str">
        <x:v>Substituting the given values for “A lamp post 15 m high casts” gives 90 °.</x:v>
      </x:c>
      <x:c r="N70" s="60" t="str">
        <x:v>C5ABD/5</x:v>
      </x:c>
      <x:c r="O70" s="60" t="str">
        <x:v>Mathematics</x:v>
      </x:c>
      <x:c r="P70" s="60" t="str">
        <x:v>Automated structural screening passed. Rewrite the explanation to teach the reasoning before publication.</x:v>
      </x:c>
    </x:row>
    <x:row r="71">
      <x:c r="A71" s="60" t="str">
        <x:v>QB-0116</x:v>
      </x:c>
      <x:c r="B71" s="62" t="n">
        <x:v>116</x:v>
      </x:c>
      <x:c r="C71" s="60" t="str">
        <x:v>Mathematics</x:v>
      </x:c>
      <x:c r="D71" s="60" t="str">
        <x:v>Hard</x:v>
      </x:c>
      <x:c r="E71" s="60" t="str">
        <x:v>Trigonometry</x:v>
      </x:c>
      <x:c r="F71" s="60" t="str">
        <x:v>Th e area of a sector of a circle of radius 16 cm cut off by an arc, which is 18·5 cm long, is</x:v>
      </x:c>
      <x:c r="G71" s="60" t="str">
        <x:v>168 cm 2</x:v>
      </x:c>
      <x:c r="H71" s="60" t="str">
        <x:v>148 cm 2</x:v>
      </x:c>
      <x:c r="I71" s="60" t="str">
        <x:v>154 cm 2</x:v>
      </x:c>
      <x:c r="J71" s="60" t="str">
        <x:v>176 cm 2</x:v>
      </x:c>
      <x:c r="K71" s="60" t="str">
        <x:v>C</x:v>
      </x:c>
      <x:c r="L71" s="60" t="str">
        <x:v>154 cm 2</x:v>
      </x:c>
      <x:c r="M71" s="60" t="str">
        <x:v>The relevant circle measure for “Th e area of a sector of” is 154 cm 2.</x:v>
      </x:c>
      <x:c r="N71" s="60" t="str">
        <x:v>C5ABD/5</x:v>
      </x:c>
      <x:c r="O71" s="60" t="str">
        <x:v>Mathematics</x:v>
      </x:c>
      <x:c r="P71" s="60" t="str">
        <x:v>Automated structural screening passed. Rewrite the explanation to teach the reasoning before publication.</x:v>
      </x:c>
    </x:row>
    <x:row r="72">
      <x:c r="A72" s="60" t="str">
        <x:v>QB-0124</x:v>
      </x:c>
      <x:c r="B72" s="62" t="n">
        <x:v>124</x:v>
      </x:c>
      <x:c r="C72" s="60" t="str">
        <x:v>Mathematics</x:v>
      </x:c>
      <x:c r="D72" s="60" t="str">
        <x:v>Medium</x:v>
      </x:c>
      <x:c r="E72" s="60" t="str">
        <x:v>Mensuration</x:v>
      </x:c>
      <x:c r="F72" s="60" t="str">
        <x:v>If the volume of a sphere is 21 11 cm 3 , t he n the radius of the sphere is:</x:v>
      </x:c>
      <x:c r="G72" s="60" t="str">
        <x:v>2 cm</x:v>
      </x:c>
      <x:c r="H72" s="60" t="str">
        <x:v>4 cm</x:v>
      </x:c>
      <x:c r="I72" s="60" t="str">
        <x:v>2 1 cm</x:v>
      </x:c>
      <x:c r="J72" s="60" t="str">
        <x:v>4 1 cm</x:v>
      </x:c>
      <x:c r="K72" s="60" t="str">
        <x:v>B</x:v>
      </x:c>
      <x:c r="L72" s="60" t="str">
        <x:v>4 cm</x:v>
      </x:c>
      <x:c r="M72" s="60" t="str">
        <x:v>The stated mensuration formula evaluates to 4 cm.</x:v>
      </x:c>
      <x:c r="N72" s="60" t="str">
        <x:v>CD1BA/3</x:v>
      </x:c>
      <x:c r="O72" s="60" t="str">
        <x:v>Mathematics</x:v>
      </x:c>
      <x:c r="P72" s="60" t="str">
        <x:v>Automated structural screening passed. Rewrite the explanation to teach the reasoning before publication.</x:v>
      </x:c>
    </x:row>
    <x:row r="73">
      <x:c r="A73" s="60" t="str">
        <x:v>QB-0127</x:v>
      </x:c>
      <x:c r="B73" s="62" t="n">
        <x:v>127</x:v>
      </x:c>
      <x:c r="C73" s="60" t="str">
        <x:v>Mathematics</x:v>
      </x:c>
      <x:c r="D73" s="60" t="str">
        <x:v>Hard</x:v>
      </x:c>
      <x:c r="E73" s="60" t="str">
        <x:v>Trigonometry</x:v>
      </x:c>
      <x:c r="F73" s="60" t="str">
        <x:v>2 tan 30° / (1 − tan² 30°) is equal to</x:v>
      </x:c>
      <x:c r="G73" s="60" t="str">
        <x:v>cos 60°</x:v>
      </x:c>
      <x:c r="H73" s="60" t="str">
        <x:v>sin 60°</x:v>
      </x:c>
      <x:c r="I73" s="60" t="str">
        <x:v>tan 60°</x:v>
      </x:c>
      <x:c r="J73" s="60" t="str">
        <x:v>sin 30°</x:v>
      </x:c>
      <x:c r="K73" s="60" t="str">
        <x:v>C</x:v>
      </x:c>
      <x:c r="L73" s="60" t="str">
        <x:v>tan 60°</x:v>
      </x:c>
      <x:c r="M73" s="60" t="str">
        <x:v>Using the standard trigonometric identity gives tan 60°.</x:v>
      </x:c>
      <x:c r="N73" s="60" t="str">
        <x:v>DA2AB/2</x:v>
      </x:c>
      <x:c r="O73" s="60" t="str">
        <x:v>Mathematics</x:v>
      </x:c>
      <x:c r="P73" s="60" t="str">
        <x:v>Automated structural screening passed. Rewrite the explanation to teach the reasoning before publication.</x:v>
      </x:c>
    </x:row>
    <x:row r="74">
      <x:c r="A74" s="60" t="str">
        <x:v>QB-0129</x:v>
      </x:c>
      <x:c r="B74" s="62" t="n">
        <x:v>129</x:v>
      </x:c>
      <x:c r="C74" s="60" t="str">
        <x:v>Mathematics</x:v>
      </x:c>
      <x:c r="D74" s="60" t="str">
        <x:v>Hard</x:v>
      </x:c>
      <x:c r="E74" s="60" t="str">
        <x:v>Trigonometry</x:v>
      </x:c>
      <x:c r="F74" s="60" t="str">
        <x:v>The difference of the areas of a minor sector of angle 120 ° and its corresponding major sector of a circle of radius 21 cm, i s</x:v>
      </x:c>
      <x:c r="G74" s="60" t="str">
        <x:v>231 cm²</x:v>
      </x:c>
      <x:c r="H74" s="60" t="str">
        <x:v>462 cm²</x:v>
      </x:c>
      <x:c r="I74" s="60" t="str">
        <x:v>346.5 cm²</x:v>
      </x:c>
      <x:c r="J74" s="60" t="str">
        <x:v>693 cm²</x:v>
      </x:c>
      <x:c r="K74" s="60" t="str">
        <x:v>B</x:v>
      </x:c>
      <x:c r="L74" s="60" t="str">
        <x:v>462 cm²</x:v>
      </x:c>
      <x:c r="M74" s="60" t="str">
        <x:v>The relevant circle measure for “The difference of the areas of a” is 462 cm².</x:v>
      </x:c>
      <x:c r="N74" s="60" t="str">
        <x:v>DA2AB/2</x:v>
      </x:c>
      <x:c r="O74" s="60" t="str">
        <x:v>Mathematics</x:v>
      </x:c>
      <x:c r="P74" s="60" t="str">
        <x:v>Automated structural screening passed. Rewrite the explanation to teach the reasoning before publication.</x:v>
      </x:c>
    </x:row>
    <x:row r="75">
      <x:c r="A75" s="60" t="str">
        <x:v>QB-0131</x:v>
      </x:c>
      <x:c r="B75" s="62" t="n">
        <x:v>131</x:v>
      </x:c>
      <x:c r="C75" s="60" t="str">
        <x:v>Mathematics</x:v>
      </x:c>
      <x:c r="D75" s="60" t="str">
        <x:v>Medium</x:v>
      </x:c>
      <x:c r="E75" s="60" t="str">
        <x:v>Mensuration</x:v>
      </x:c>
      <x:c r="F75" s="60" t="str">
        <x:v>The total surface area of a solid h emisphere of radius 7 cm is:</x:v>
      </x:c>
      <x:c r="G75" s="60" t="str">
        <x:v>98π cm²</x:v>
      </x:c>
      <x:c r="H75" s="60" t="str">
        <x:v>147π cm²</x:v>
      </x:c>
      <x:c r="I75" s="60" t="str">
        <x:v>196π cm²</x:v>
      </x:c>
      <x:c r="J75" s="60" t="str">
        <x:v>228⅔π cm²</x:v>
      </x:c>
      <x:c r="K75" s="60" t="str">
        <x:v>B</x:v>
      </x:c>
      <x:c r="L75" s="60" t="str">
        <x:v>147π cm²</x:v>
      </x:c>
      <x:c r="M75" s="60" t="str">
        <x:v>The stated mensuration formula evaluates to 147π cm².</x:v>
      </x:c>
      <x:c r="N75" s="60" t="str">
        <x:v>DA2AB/2</x:v>
      </x:c>
      <x:c r="O75" s="60" t="str">
        <x:v>Mathematics</x:v>
      </x:c>
      <x:c r="P75" s="60" t="str">
        <x:v>Automated structural screening passed. Rewrite the explanation to teach the reasoning before publication.</x:v>
      </x:c>
    </x:row>
    <x:row r="76">
      <x:c r="A76" s="60" t="str">
        <x:v>QB-0132</x:v>
      </x:c>
      <x:c r="B76" s="62" t="n">
        <x:v>132</x:v>
      </x:c>
      <x:c r="C76" s="60" t="str">
        <x:v>Mathematics</x:v>
      </x:c>
      <x:c r="D76" s="60" t="str">
        <x:v>Hard</x:v>
      </x:c>
      <x:c r="E76" s="60" t="str">
        <x:v>Trigonometry</x:v>
      </x:c>
      <x:c r="F76" s="60" t="str">
        <x:v>A p ole 7 3 m high casts a shadow 21 m long on the ground, then the sun’s elevation is:</x:v>
      </x:c>
      <x:c r="G76" s="60" t="str">
        <x:v>30°</x:v>
      </x:c>
      <x:c r="H76" s="60" t="str">
        <x:v>45°</x:v>
      </x:c>
      <x:c r="I76" s="60" t="str">
        <x:v>60°</x:v>
      </x:c>
      <x:c r="J76" s="60" t="str">
        <x:v>90°</x:v>
      </x:c>
      <x:c r="K76" s="60" t="str">
        <x:v>B</x:v>
      </x:c>
      <x:c r="L76" s="60" t="str">
        <x:v>45°</x:v>
      </x:c>
      <x:c r="M76" s="60" t="str">
        <x:v>Substituting the given values for “A p ole 7 3 m high” gives 45°.</x:v>
      </x:c>
      <x:c r="N76" s="60" t="str">
        <x:v>DA2AB/2</x:v>
      </x:c>
      <x:c r="O76" s="60" t="str">
        <x:v>Mathematics</x:v>
      </x:c>
      <x:c r="P76" s="60" t="str">
        <x:v>Automated structural screening passed. Rewrite the explanation to teach the reasoning before publication.</x:v>
      </x:c>
    </x:row>
    <x:row r="77">
      <x:c r="A77" s="60" t="str">
        <x:v>QB-0133</x:v>
      </x:c>
      <x:c r="B77" s="62" t="n">
        <x:v>133</x:v>
      </x:c>
      <x:c r="C77" s="60" t="str">
        <x:v>Mathematics</x:v>
      </x:c>
      <x:c r="D77" s="60" t="str">
        <x:v>Hard</x:v>
      </x:c>
      <x:c r="E77" s="60" t="str">
        <x:v>Trigonometry</x:v>
      </x:c>
      <x:c r="F77" s="60" t="str">
        <x:v>If sin² θ = 3/4 and θ is acute, then θ is</x:v>
      </x:c>
      <x:c r="G77" s="60" t="str">
        <x:v>30°</x:v>
      </x:c>
      <x:c r="H77" s="60" t="str">
        <x:v>45°</x:v>
      </x:c>
      <x:c r="I77" s="60" t="str">
        <x:v>60°</x:v>
      </x:c>
      <x:c r="J77" s="60" t="str">
        <x:v>90°</x:v>
      </x:c>
      <x:c r="K77" s="60" t="str">
        <x:v>C</x:v>
      </x:c>
      <x:c r="L77" s="60" t="str">
        <x:v>60°</x:v>
      </x:c>
      <x:c r="M77" s="60" t="str">
        <x:v>Using the standard trigonometric identity gives 60°.</x:v>
      </x:c>
      <x:c r="N77" s="60" t="str">
        <x:v>DA2AB/2</x:v>
      </x:c>
      <x:c r="O77" s="60" t="str">
        <x:v>Mathematics</x:v>
      </x:c>
      <x:c r="P77" s="60" t="str">
        <x:v>Automated structural screening passed. Rewrite the explanation to teach the reasoning before publication.</x:v>
      </x:c>
    </x:row>
    <x:row r="78">
      <x:c r="A78" s="60" t="str">
        <x:v>QB-0134</x:v>
      </x:c>
      <x:c r="B78" s="62" t="n">
        <x:v>134</x:v>
      </x:c>
      <x:c r="C78" s="60" t="str">
        <x:v>Mathematics</x:v>
      </x:c>
      <x:c r="D78" s="60" t="str">
        <x:v>Hard</x:v>
      </x:c>
      <x:c r="E78" s="60" t="str">
        <x:v>Trigonometry</x:v>
      </x:c>
      <x:c r="F78" s="60" t="str">
        <x:v>In the giv en figure, tangents PA and PB from a point P to a circle with centre O are inclined to each other at an angle of 80°. ∠ ABO is equal to</x:v>
      </x:c>
      <x:c r="G78" s="60" t="str">
        <x:v>40°</x:v>
      </x:c>
      <x:c r="H78" s="60" t="str">
        <x:v>80°</x:v>
      </x:c>
      <x:c r="I78" s="60" t="str">
        <x:v>100°</x:v>
      </x:c>
      <x:c r="J78" s="60" t="str">
        <x:v>50°</x:v>
      </x:c>
      <x:c r="K78" s="60" t="str">
        <x:v>A</x:v>
      </x:c>
      <x:c r="L78" s="60" t="str">
        <x:v>40°</x:v>
      </x:c>
      <x:c r="M78" s="60" t="str">
        <x:v>The relevant circle measure for “In the giv en figure tangents PA” is 40°.</x:v>
      </x:c>
      <x:c r="N78" s="60" t="str">
        <x:v>DA2AB/2</x:v>
      </x:c>
      <x:c r="O78" s="60" t="str">
        <x:v>Mathematics</x:v>
      </x:c>
      <x:c r="P78" s="60" t="str">
        <x:v>Automated structural screening passed. Rewrite the explanation to teach the reasoning before publication.</x:v>
      </x:c>
    </x:row>
    <x:row r="79">
      <x:c r="A79" s="60" t="str">
        <x:v>QB-0138</x:v>
      </x:c>
      <x:c r="B79" s="62" t="n">
        <x:v>138</x:v>
      </x:c>
      <x:c r="C79" s="60" t="str">
        <x:v>Mathematics</x:v>
      </x:c>
      <x:c r="D79" s="60" t="str">
        <x:v>Hard</x:v>
      </x:c>
      <x:c r="E79" s="60" t="str">
        <x:v>Trigonometry</x:v>
      </x:c>
      <x:c r="F79" s="60" t="str">
        <x:v>If a pole 6 m high casts a shadow 2 3 m long on the ground, then the sun’s elevation is:</x:v>
      </x:c>
      <x:c r="G79" s="60" t="str">
        <x:v>30°</x:v>
      </x:c>
      <x:c r="H79" s="60" t="str">
        <x:v>45°</x:v>
      </x:c>
      <x:c r="I79" s="60" t="str">
        <x:v>60°</x:v>
      </x:c>
      <x:c r="J79" s="60" t="str">
        <x:v>90°</x:v>
      </x:c>
      <x:c r="K79" s="60" t="str">
        <x:v>C</x:v>
      </x:c>
      <x:c r="L79" s="60" t="str">
        <x:v>60°</x:v>
      </x:c>
      <x:c r="M79" s="60" t="str">
        <x:v>Substituting the given values for “If a pole 6 m high casts” gives 60°.</x:v>
      </x:c>
      <x:c r="N79" s="60" t="str">
        <x:v>DA2AB/2</x:v>
      </x:c>
      <x:c r="O79" s="60" t="str">
        <x:v>Mathematics</x:v>
      </x:c>
      <x:c r="P79" s="60" t="str">
        <x:v>Automated structural screening passed. Rewrite the explanation to teach the reasoning before publication.</x:v>
      </x:c>
    </x:row>
    <x:row r="80">
      <x:c r="A80" s="60" t="str">
        <x:v>QB-0139</x:v>
      </x:c>
      <x:c r="B80" s="62" t="n">
        <x:v>139</x:v>
      </x:c>
      <x:c r="C80" s="60" t="str">
        <x:v>Mathematics</x:v>
      </x:c>
      <x:c r="D80" s="60" t="str">
        <x:v>Medium</x:v>
      </x:c>
      <x:c r="E80" s="60" t="str">
        <x:v>Mensuration</x:v>
      </x:c>
      <x:c r="F80" s="60" t="str">
        <x:v>The total surface area of a cube of side 20 cm is</x:v>
      </x:c>
      <x:c r="G80" s="60" t="str">
        <x:v>240 cm 2</x:v>
      </x:c>
      <x:c r="H80" s="60" t="str">
        <x:v>160 cm 2</x:v>
      </x:c>
      <x:c r="I80" s="60" t="str">
        <x:v>2400 cm 2</x:v>
      </x:c>
      <x:c r="J80" s="60" t="str">
        <x:v>1600 cm 2</x:v>
      </x:c>
      <x:c r="K80" s="60" t="str">
        <x:v>D</x:v>
      </x:c>
      <x:c r="L80" s="60" t="str">
        <x:v>1600 cm 2</x:v>
      </x:c>
      <x:c r="M80" s="60" t="str">
        <x:v>The stated mensuration formula evaluates to 1600 cm 2.</x:v>
      </x:c>
      <x:c r="N80" s="60" t="str">
        <x:v>DA2AB/2</x:v>
      </x:c>
      <x:c r="O80" s="60" t="str">
        <x:v>Mathematics</x:v>
      </x:c>
      <x:c r="P80" s="60" t="str">
        <x:v>Automated structural screening passed. Rewrite the explanation to teach the reasoning before publication.</x:v>
      </x:c>
    </x:row>
    <x:row r="81">
      <x:c r="A81" s="60" t="str">
        <x:v>QB-0141</x:v>
      </x:c>
      <x:c r="B81" s="62" t="n">
        <x:v>141</x:v>
      </x:c>
      <x:c r="C81" s="60" t="str">
        <x:v>Mathematics</x:v>
      </x:c>
      <x:c r="D81" s="60" t="str">
        <x:v>Easy</x:v>
      </x:c>
      <x:c r="E81" s="60" t="str">
        <x:v>Number Systems</x:v>
      </x:c>
      <x:c r="F81" s="60" t="str">
        <x:v>If x = LCM(4, 6, 8), y = LCM(3, 5, 7), and p = xy, then which relation is correct?</x:v>
      </x:c>
      <x:c r="G81" s="60" t="str">
        <x:v>p = 35x</x:v>
      </x:c>
      <x:c r="H81" s="60" t="str">
        <x:v>p = 4y</x:v>
      </x:c>
      <x:c r="I81" s="60" t="str">
        <x:v>p = 8x</x:v>
      </x:c>
      <x:c r="J81" s="60" t="str">
        <x:v>p = 16y</x:v>
      </x:c>
      <x:c r="K81" s="60" t="str">
        <x:v>A</x:v>
      </x:c>
      <x:c r="L81" s="60" t="str">
        <x:v>p = 35x</x:v>
      </x:c>
      <x:c r="M81" s="60" t="str">
        <x:v>Prime factorisation of the stated numbers gives p = 35x.</x:v>
      </x:c>
      <x:c r="N81" s="60" t="str">
        <x:v>EF3GH</x:v>
      </x:c>
      <x:c r="O81" s="60" t="str">
        <x:v>Mathematics</x:v>
      </x:c>
      <x:c r="P81" s="60" t="str">
        <x:v>Automated structural screening passed. Rewrite the explanation to teach the reasoning before publication.</x:v>
      </x:c>
    </x:row>
    <x:row r="82">
      <x:c r="A82" s="60" t="str">
        <x:v>QB-0143</x:v>
      </x:c>
      <x:c r="B82" s="62" t="n">
        <x:v>143</x:v>
      </x:c>
      <x:c r="C82" s="60" t="str">
        <x:v>Mathematics</x:v>
      </x:c>
      <x:c r="D82" s="60" t="str">
        <x:v>Hard</x:v>
      </x:c>
      <x:c r="E82" s="60" t="str">
        <x:v>Trigonometry</x:v>
      </x:c>
      <x:c r="F82" s="60" t="str">
        <x:v>If the area of a sector of circle of radius 36 cm is 54 cm2, then the length of the corresponding arc of the sector is</x:v>
      </x:c>
      <x:c r="G82" s="60" t="str">
        <x:v>8 cm</x:v>
      </x:c>
      <x:c r="H82" s="60" t="str">
        <x:v>6 cm</x:v>
      </x:c>
      <x:c r="I82" s="60" t="str">
        <x:v>4 cm</x:v>
      </x:c>
      <x:c r="J82" s="60" t="str">
        <x:v>3 cm</x:v>
      </x:c>
      <x:c r="K82" s="60" t="str">
        <x:v>D</x:v>
      </x:c>
      <x:c r="L82" s="60" t="str">
        <x:v>3 cm</x:v>
      </x:c>
      <x:c r="M82" s="60" t="str">
        <x:v>The relevant circle measure for “If the area of a sector of” is 3 cm.</x:v>
      </x:c>
      <x:c r="N82" s="60" t="str">
        <x:v>EF3GH</x:v>
      </x:c>
      <x:c r="O82" s="60" t="str">
        <x:v>Mathematics</x:v>
      </x:c>
      <x:c r="P82" s="60" t="str">
        <x:v>Automated structural screening passed. Rewrite the explanation to teach the reasoning before publication.</x:v>
      </x:c>
    </x:row>
    <x:row r="83">
      <x:c r="A83" s="60" t="str">
        <x:v>QB-0146</x:v>
      </x:c>
      <x:c r="B83" s="62" t="n">
        <x:v>146</x:v>
      </x:c>
      <x:c r="C83" s="60" t="str">
        <x:v>Mathematics</x:v>
      </x:c>
      <x:c r="D83" s="60" t="str">
        <x:v>Medium</x:v>
      </x:c>
      <x:c r="E83" s="60" t="str">
        <x:v>Linear Equations</x:v>
      </x:c>
      <x:c r="F83" s="60" t="str">
        <x:v>A system of two linear equations in two variables is inconsistent, if the lines in the graph are</x:v>
      </x:c>
      <x:c r="G83" s="60" t="str">
        <x:v>coincident</x:v>
      </x:c>
      <x:c r="H83" s="60" t="str">
        <x:v>parallel</x:v>
      </x:c>
      <x:c r="I83" s="60" t="str">
        <x:v>intersecting at one point</x:v>
      </x:c>
      <x:c r="J83" s="60" t="str">
        <x:v>intersecting at right angles</x:v>
      </x:c>
      <x:c r="K83" s="60" t="str">
        <x:v>B</x:v>
      </x:c>
      <x:c r="L83" s="60" t="str">
        <x:v>parallel</x:v>
      </x:c>
      <x:c r="M83" s="60" t="str">
        <x:v>Substituting the given values for “A system of two linear equations in” gives parallel.</x:v>
      </x:c>
      <x:c r="N83" s="60" t="str">
        <x:v>EF3GH</x:v>
      </x:c>
      <x:c r="O83" s="60" t="str">
        <x:v>Mathematics</x:v>
      </x:c>
      <x:c r="P83" s="60" t="str">
        <x:v>Automated structural screening passed. Rewrite the explanation to teach the reasoning before publication.</x:v>
      </x:c>
    </x:row>
    <x:row r="84">
      <x:c r="A84" s="60" t="str">
        <x:v>QB-0147</x:v>
      </x:c>
      <x:c r="B84" s="62" t="n">
        <x:v>147</x:v>
      </x:c>
      <x:c r="C84" s="60" t="str">
        <x:v>Mathematics</x:v>
      </x:c>
      <x:c r="D84" s="60" t="str">
        <x:v>Hard</x:v>
      </x:c>
      <x:c r="E84" s="60" t="str">
        <x:v>Trigonometry</x:v>
      </x:c>
      <x:c r="F84" s="60" t="str">
        <x:v>If sin 4θ = √3/2 and θ is acute, then θ/3 equals</x:v>
      </x:c>
      <x:c r="G84" s="60" t="str">
        <x:v>60°</x:v>
      </x:c>
      <x:c r="H84" s="60" t="str">
        <x:v>20°</x:v>
      </x:c>
      <x:c r="I84" s="60" t="str">
        <x:v>15°</x:v>
      </x:c>
      <x:c r="J84" s="60" t="str">
        <x:v>5°</x:v>
      </x:c>
      <x:c r="K84" s="60" t="str">
        <x:v>D</x:v>
      </x:c>
      <x:c r="L84" s="60" t="str">
        <x:v>5°</x:v>
      </x:c>
      <x:c r="M84" s="60" t="str">
        <x:v>Using the standard trigonometric identity gives 5°.</x:v>
      </x:c>
      <x:c r="N84" s="60" t="str">
        <x:v>EF3GH</x:v>
      </x:c>
      <x:c r="O84" s="60" t="str">
        <x:v>Mathematics</x:v>
      </x:c>
      <x:c r="P84" s="60" t="str">
        <x:v>Automated structural screening passed. Rewrite the explanation to teach the reasoning before publication.</x:v>
      </x:c>
    </x:row>
    <x:row r="85">
      <x:c r="A85" s="60" t="str">
        <x:v>QB-0152</x:v>
      </x:c>
      <x:c r="B85" s="62" t="n">
        <x:v>152</x:v>
      </x:c>
      <x:c r="C85" s="60" t="str">
        <x:v>Mathematics</x:v>
      </x:c>
      <x:c r="D85" s="60" t="str">
        <x:v>Hard</x:v>
      </x:c>
      <x:c r="E85" s="60" t="str">
        <x:v>Trigonometry</x:v>
      </x:c>
      <x:c r="F85" s="60" t="str">
        <x:v>The diameter of a wheel is 63 cm. The distance travelled by the wheel in 100 revolutions is</x:v>
      </x:c>
      <x:c r="G85" s="60" t="str">
        <x:v>99 m</x:v>
      </x:c>
      <x:c r="H85" s="60" t="str">
        <x:v>198 m</x:v>
      </x:c>
      <x:c r="I85" s="60" t="str">
        <x:v>63 m</x:v>
      </x:c>
      <x:c r="J85" s="60" t="str">
        <x:v>136 m</x:v>
      </x:c>
      <x:c r="K85" s="60" t="str">
        <x:v>B</x:v>
      </x:c>
      <x:c r="L85" s="60" t="str">
        <x:v>198 m</x:v>
      </x:c>
      <x:c r="M85" s="60" t="str">
        <x:v>The coordinate formula for “The diameter of a wheel is 63” gives 198 m.</x:v>
      </x:c>
      <x:c r="N85" s="60" t="str">
        <x:v>EF3GH</x:v>
      </x:c>
      <x:c r="O85" s="60" t="str">
        <x:v>Mathematics</x:v>
      </x:c>
      <x:c r="P85" s="60" t="str">
        <x:v>Automated structural screening passed. Rewrite the explanation to teach the reasoning before publication.</x:v>
      </x:c>
    </x:row>
    <x:row r="86">
      <x:c r="A86" s="60" t="str">
        <x:v>QB-0155</x:v>
      </x:c>
      <x:c r="B86" s="62" t="n">
        <x:v>155</x:v>
      </x:c>
      <x:c r="C86" s="60" t="str">
        <x:v>Mathematics</x:v>
      </x:c>
      <x:c r="D86" s="60" t="str">
        <x:v>Easy</x:v>
      </x:c>
      <x:c r="E86" s="60" t="str">
        <x:v>Number Systems</x:v>
      </x:c>
      <x:c r="F86" s="60" t="str">
        <x:v>If p = 23 × 32 × 5 and q = 22 × 33, then the LCM of p and q is</x:v>
      </x:c>
      <x:c r="G86" s="60" t="str">
        <x:v>23 × 33</x:v>
      </x:c>
      <x:c r="H86" s="60" t="str">
        <x:v>22 × 32</x:v>
      </x:c>
      <x:c r="I86" s="60" t="str">
        <x:v>22 × 32 × 5</x:v>
      </x:c>
      <x:c r="J86" s="60" t="str">
        <x:v>23 × 33 × 5</x:v>
      </x:c>
      <x:c r="K86" s="60" t="str">
        <x:v>D</x:v>
      </x:c>
      <x:c r="L86" s="60" t="str">
        <x:v>23 × 33 × 5</x:v>
      </x:c>
      <x:c r="M86" s="60" t="str">
        <x:v>Prime factorisation of the stated numbers gives 23 × 33 × 5.</x:v>
      </x:c>
      <x:c r="N86" s="60" t="str">
        <x:v>EF3GH</x:v>
      </x:c>
      <x:c r="O86" s="60" t="str">
        <x:v>Mathematics</x:v>
      </x:c>
      <x:c r="P86" s="60" t="str">
        <x:v>Automated structural screening passed. Rewrite the explanation to teach the reasoning before publication.</x:v>
      </x:c>
    </x:row>
    <x:row r="87">
      <x:c r="A87" s="60" t="str">
        <x:v>QB-0157</x:v>
      </x:c>
      <x:c r="B87" s="62" t="n">
        <x:v>157</x:v>
      </x:c>
      <x:c r="C87" s="60" t="str">
        <x:v>Mathematics</x:v>
      </x:c>
      <x:c r="D87" s="60" t="str">
        <x:v>Easy</x:v>
      </x:c>
      <x:c r="E87" s="60" t="str">
        <x:v>Geometry</x:v>
      </x:c>
      <x:c r="F87" s="60" t="str">
        <x:v>Which types of triangles are always similar?</x:v>
      </x:c>
      <x:c r="G87" s="60" t="str">
        <x:v>Right-angled triangles</x:v>
      </x:c>
      <x:c r="H87" s="60" t="str">
        <x:v>Acute-angled triangles</x:v>
      </x:c>
      <x:c r="I87" s="60" t="str">
        <x:v>Isosceles triangles</x:v>
      </x:c>
      <x:c r="J87" s="60" t="str">
        <x:v>Equilateral triangles</x:v>
      </x:c>
      <x:c r="K87" s="60" t="str">
        <x:v>D</x:v>
      </x:c>
      <x:c r="L87" s="60" t="str">
        <x:v>Equilateral triangles</x:v>
      </x:c>
      <x:c r="M87" s="60" t="str">
        <x:v>Substituting the given values for “Which types of triangles are always similar” gives Equilateral triangles.</x:v>
      </x:c>
      <x:c r="N87" s="60" t="str">
        <x:v>EF3GH</x:v>
      </x:c>
      <x:c r="O87" s="60" t="str">
        <x:v>Mathematics</x:v>
      </x:c>
      <x:c r="P87" s="60" t="str">
        <x:v>Automated structural screening passed. Rewrite the explanation to teach the reasoning before publication.</x:v>
      </x:c>
    </x:row>
    <x:row r="88">
      <x:c r="A88" s="60" t="str">
        <x:v>QB-0164</x:v>
      </x:c>
      <x:c r="B88" s="62" t="n">
        <x:v>164</x:v>
      </x:c>
      <x:c r="C88" s="60" t="str">
        <x:v>Mathematics</x:v>
      </x:c>
      <x:c r="D88" s="60" t="str">
        <x:v>Hard</x:v>
      </x:c>
      <x:c r="E88" s="60" t="str">
        <x:v>Circle Theorems</x:v>
      </x:c>
      <x:c r="F88" s="60" t="str">
        <x:v>The perimeter of a quadrant of a circle of circumference 22 cm is</x:v>
      </x:c>
      <x:c r="G88" s="60" t="str">
        <x:v>29 cm</x:v>
      </x:c>
      <x:c r="H88" s="60" t="str">
        <x:v>22 cm</x:v>
      </x:c>
      <x:c r="I88" s="60" t="str">
        <x:v>12·5 cm</x:v>
      </x:c>
      <x:c r="J88" s="60" t="str">
        <x:v>5·5 cm</x:v>
      </x:c>
      <x:c r="K88" s="60" t="str">
        <x:v>C</x:v>
      </x:c>
      <x:c r="L88" s="60" t="str">
        <x:v>12·5 cm</x:v>
      </x:c>
      <x:c r="M88" s="60" t="str">
        <x:v>The relevant circle measure for “The perimeter of a quadrant of a” is 12·5 cm.</x:v>
      </x:c>
      <x:c r="N88" s="60" t="str">
        <x:v>EF3GH</x:v>
      </x:c>
      <x:c r="O88" s="60" t="str">
        <x:v>Mathematics</x:v>
      </x:c>
      <x:c r="P88" s="60" t="str">
        <x:v>Automated structural screening passed. Rewrite the explanation to teach the reasoning before publication.</x:v>
      </x:c>
    </x:row>
    <x:row r="89">
      <x:c r="A89" s="60" t="str">
        <x:v>QB-0165</x:v>
      </x:c>
      <x:c r="B89" s="62" t="n">
        <x:v>165</x:v>
      </x:c>
      <x:c r="C89" s="60" t="str">
        <x:v>Mathematics</x:v>
      </x:c>
      <x:c r="D89" s="60" t="str">
        <x:v>Medium</x:v>
      </x:c>
      <x:c r="E89" s="60" t="str">
        <x:v>Linear Equations</x:v>
      </x:c>
      <x:c r="F89" s="60" t="str">
        <x:v>The system of linear equations given by x = a and y = b is</x:v>
      </x:c>
      <x:c r="G89" s="60" t="str">
        <x:v>Consistent with a unique solution.</x:v>
      </x:c>
      <x:c r="H89" s="60" t="str">
        <x:v>Consistent with infinitely many solutions.</x:v>
      </x:c>
      <x:c r="I89" s="60" t="str">
        <x:v>Consistent with two solutions.</x:v>
      </x:c>
      <x:c r="J89" s="60" t="str">
        <x:v>Inconsistent.</x:v>
      </x:c>
      <x:c r="K89" s="60" t="str">
        <x:v>A</x:v>
      </x:c>
      <x:c r="L89" s="60" t="str">
        <x:v>Consistent with a unique solution.</x:v>
      </x:c>
      <x:c r="M89" s="60" t="str">
        <x:v>Substituting the given values for “The system of linear equations given by” gives Consistent with a unique solution..</x:v>
      </x:c>
      <x:c r="N89" s="60" t="str">
        <x:v>EF3GH</x:v>
      </x:c>
      <x:c r="O89" s="60" t="str">
        <x:v>Mathematics</x:v>
      </x:c>
      <x:c r="P89" s="60" t="str">
        <x:v>Automated structural screening passed. Rewrite the explanation to teach the reasoning before publication.</x:v>
      </x:c>
    </x:row>
    <x:row r="90">
      <x:c r="A90" s="60" t="str">
        <x:v>QB-0167</x:v>
      </x:c>
      <x:c r="B90" s="62" t="n">
        <x:v>167</x:v>
      </x:c>
      <x:c r="C90" s="60" t="str">
        <x:v>Mathematics</x:v>
      </x:c>
      <x:c r="D90" s="60" t="str">
        <x:v>Easy</x:v>
      </x:c>
      <x:c r="E90" s="60" t="str">
        <x:v>Sequences</x:v>
      </x:c>
      <x:c r="F90" s="60" t="str">
        <x:v>If the first term of an A.P. is ‘a’ and its common difference is ‘b’, then its 10 th term is</x:v>
      </x:c>
      <x:c r="G90" s="60" t="str">
        <x:v>a + 10b</x:v>
      </x:c>
      <x:c r="H90" s="60" t="str">
        <x:v>10a + b</x:v>
      </x:c>
      <x:c r="I90" s="60" t="str">
        <x:v>a + 9b</x:v>
      </x:c>
      <x:c r="J90" s="60" t="str">
        <x:v>9a + b</x:v>
      </x:c>
      <x:c r="K90" s="60" t="str">
        <x:v>C</x:v>
      </x:c>
      <x:c r="L90" s="60" t="str">
        <x:v>a + 9b</x:v>
      </x:c>
      <x:c r="M90" s="60" t="str">
        <x:v>Applying the arithmetic-progression relation gives a + 9b.</x:v>
      </x:c>
      <x:c r="N90" s="60" t="str">
        <x:v>EFGH/S</x:v>
      </x:c>
      <x:c r="O90" s="60" t="str">
        <x:v>Mathematics</x:v>
      </x:c>
      <x:c r="P90" s="60" t="str">
        <x:v>Automated structural screening passed. Rewrite the explanation to teach the reasoning before publication.</x:v>
      </x:c>
    </x:row>
    <x:row r="91">
      <x:c r="A91" s="60" t="str">
        <x:v>QB-0171</x:v>
      </x:c>
      <x:c r="B91" s="62" t="n">
        <x:v>171</x:v>
      </x:c>
      <x:c r="C91" s="60" t="str">
        <x:v>Mathematics</x:v>
      </x:c>
      <x:c r="D91" s="60" t="str">
        <x:v>Easy</x:v>
      </x:c>
      <x:c r="E91" s="60" t="str">
        <x:v>Sequences</x:v>
      </x:c>
      <x:c r="F91" s="60" t="str">
        <x:v>The 20 th term of the A.P. – 4, – 7, – 10, – 13, ...... is</x:v>
      </x:c>
      <x:c r="G91" s="60" t="str">
        <x:v>53</x:v>
      </x:c>
      <x:c r="H91" s="60" t="str">
        <x:v>56</x:v>
      </x:c>
      <x:c r="I91" s="60" t="str">
        <x:v>– 61</x:v>
      </x:c>
      <x:c r="J91" s="60" t="str">
        <x:v>– 64</x:v>
      </x:c>
      <x:c r="K91" s="60" t="str">
        <x:v>C</x:v>
      </x:c>
      <x:c r="L91" s="60" t="str">
        <x:v>– 61</x:v>
      </x:c>
      <x:c r="M91" s="60" t="str">
        <x:v>Applying the arithmetic-progression relation gives – 61.</x:v>
      </x:c>
      <x:c r="N91" s="60" t="str">
        <x:v>EFGH/S</x:v>
      </x:c>
      <x:c r="O91" s="60" t="str">
        <x:v>Mathematics</x:v>
      </x:c>
      <x:c r="P91" s="60" t="str">
        <x:v>Automated structural screening passed. Rewrite the explanation to teach the reasoning before publication.</x:v>
      </x:c>
    </x:row>
    <x:row r="92">
      <x:c r="A92" s="60" t="str">
        <x:v>QB-0172</x:v>
      </x:c>
      <x:c r="B92" s="62" t="n">
        <x:v>172</x:v>
      </x:c>
      <x:c r="C92" s="60" t="str">
        <x:v>Mathematics</x:v>
      </x:c>
      <x:c r="D92" s="60" t="str">
        <x:v>Easy</x:v>
      </x:c>
      <x:c r="E92" s="60" t="str">
        <x:v>Statistics</x:v>
      </x:c>
      <x:c r="F92" s="60" t="str">
        <x:v>The formula : l + 1 0 1 0 2 f – f 2f – f – f % h, where symbols have their usual meanings, is used to calculate</x:v>
      </x:c>
      <x:c r="G92" s="60" t="str">
        <x:v>Mean of a grouped data .</x:v>
      </x:c>
      <x:c r="H92" s="60" t="str">
        <x:v>Median of a grouped data .</x:v>
      </x:c>
      <x:c r="I92" s="60" t="str">
        <x:v>Mode of a grouped data .</x:v>
      </x:c>
      <x:c r="J92" s="60" t="str">
        <x:v>Range of a grouped data . • • •</x:v>
      </x:c>
      <x:c r="K92" s="60" t="str">
        <x:v>C</x:v>
      </x:c>
      <x:c r="L92" s="60" t="str">
        <x:v>Mode of a grouped data .</x:v>
      </x:c>
      <x:c r="M92" s="60" t="str">
        <x:v>Substituting the given data in the statistics formula gives Mode of a grouped data ..</x:v>
      </x:c>
      <x:c r="N92" s="60" t="str">
        <x:v>EFGH/S</x:v>
      </x:c>
      <x:c r="O92" s="60" t="str">
        <x:v>Mathematics</x:v>
      </x:c>
      <x:c r="P92" s="60" t="str">
        <x:v>Automated structural screening passed. Rewrite the explanation to teach the reasoning before publication.</x:v>
      </x:c>
    </x:row>
    <x:row r="93">
      <x:c r="A93" s="60" t="str">
        <x:v>QB-0177</x:v>
      </x:c>
      <x:c r="B93" s="62" t="n">
        <x:v>177</x:v>
      </x:c>
      <x:c r="C93" s="60" t="str">
        <x:v>Mathematics</x:v>
      </x:c>
      <x:c r="D93" s="60" t="str">
        <x:v>Easy</x:v>
      </x:c>
      <x:c r="E93" s="60" t="str">
        <x:v>General Mathematics</x:v>
      </x:c>
      <x:c r="F93" s="60" t="str">
        <x:v>A cylindrical pencil sharpened at one edge is a combination of</x:v>
      </x:c>
      <x:c r="G93" s="60" t="str">
        <x:v>two cylinders</x:v>
      </x:c>
      <x:c r="H93" s="60" t="str">
        <x:v>a hemisphere and a cone</x:v>
      </x:c>
      <x:c r="I93" s="60" t="str">
        <x:v>a cylinder and a cone</x:v>
      </x:c>
      <x:c r="J93" s="60" t="str">
        <x:v>a hemisphere and a cylinder</x:v>
      </x:c>
      <x:c r="K93" s="60" t="str">
        <x:v>A</x:v>
      </x:c>
      <x:c r="L93" s="60" t="str">
        <x:v>two cylinders</x:v>
      </x:c>
      <x:c r="M93" s="60" t="str">
        <x:v>Substituting the given values for “A cylindrical pencil sharpened at one edge” gives two cylinders.</x:v>
      </x:c>
      <x:c r="N93" s="60" t="str">
        <x:v>EFGH/S</x:v>
      </x:c>
      <x:c r="O93" s="60" t="str">
        <x:v>Mathematics</x:v>
      </x:c>
      <x:c r="P93" s="60" t="str">
        <x:v>Automated structural screening passed. Rewrite the explanation to teach the reasoning before publication.</x:v>
      </x:c>
    </x:row>
    <x:row r="94">
      <x:c r="A94" s="60" t="str">
        <x:v>QB-0179</x:v>
      </x:c>
      <x:c r="B94" s="62" t="n">
        <x:v>179</x:v>
      </x:c>
      <x:c r="C94" s="60" t="str">
        <x:v>Mathematics</x:v>
      </x:c>
      <x:c r="D94" s="60" t="str">
        <x:v>Easy</x:v>
      </x:c>
      <x:c r="E94" s="60" t="str">
        <x:v>General Mathematics</x:v>
      </x:c>
      <x:c r="F94" s="60" t="str">
        <x:v>The empirical relationship between the three measures of central tendency is</x:v>
      </x:c>
      <x:c r="G94" s="60" t="str">
        <x:v>3 Median = Mode + 2 Mean</x:v>
      </x:c>
      <x:c r="H94" s="60" t="str">
        <x:v>2 Median = Mode + 2 Mean</x:v>
      </x:c>
      <x:c r="I94" s="60" t="str">
        <x:v>3 Median = Mode + Mean</x:v>
      </x:c>
      <x:c r="J94" s="60" t="str">
        <x:v>3 Median = Mode – 2 Mean</x:v>
      </x:c>
      <x:c r="K94" s="60" t="str">
        <x:v>C</x:v>
      </x:c>
      <x:c r="L94" s="60" t="str">
        <x:v>3 Median = Mode + Mean</x:v>
      </x:c>
      <x:c r="M94" s="60" t="str">
        <x:v>Substituting the given values for “The empirical relationship between the three measures” gives 3 Median = Mode + Mean.</x:v>
      </x:c>
      <x:c r="N94" s="60" t="str">
        <x:v>EFGH/S</x:v>
      </x:c>
      <x:c r="O94" s="60" t="str">
        <x:v>Mathematics</x:v>
      </x:c>
      <x:c r="P94" s="60" t="str">
        <x:v>Automated structural screening passed. Rewrite the explanation to teach the reasoning before publication.</x:v>
      </x:c>
    </x:row>
    <x:row r="95">
      <x:c r="A95" s="60" t="str">
        <x:v>QB-0180</x:v>
      </x:c>
      <x:c r="B95" s="62" t="n">
        <x:v>180</x:v>
      </x:c>
      <x:c r="C95" s="60" t="str">
        <x:v>Mathematics</x:v>
      </x:c>
      <x:c r="D95" s="60" t="str">
        <x:v>Easy</x:v>
      </x:c>
      <x:c r="E95" s="60" t="str">
        <x:v>General Mathematics</x:v>
      </x:c>
      <x:c r="F95" s="60" t="str">
        <x:v>The greatest possible speed at which a man can walk 78 m and 104 m in exact number of minutes, is</x:v>
      </x:c>
      <x:c r="G95" s="60" t="str">
        <x:v>17 m/min</x:v>
      </x:c>
      <x:c r="H95" s="60" t="str">
        <x:v>13 m/min</x:v>
      </x:c>
      <x:c r="I95" s="60" t="str">
        <x:v>26 m/min</x:v>
      </x:c>
      <x:c r="J95" s="60" t="str">
        <x:v>39 m/min</x:v>
      </x:c>
      <x:c r="K95" s="60" t="str">
        <x:v>C</x:v>
      </x:c>
      <x:c r="L95" s="60" t="str">
        <x:v>26 m/min</x:v>
      </x:c>
      <x:c r="M95" s="60" t="str">
        <x:v>Substituting the given values for “The greatest possible speed at which a” gives 26 m/min.</x:v>
      </x:c>
      <x:c r="N95" s="60" t="str">
        <x:v>EFGH/S</x:v>
      </x:c>
      <x:c r="O95" s="60" t="str">
        <x:v>Mathematics</x:v>
      </x:c>
      <x:c r="P95" s="60" t="str">
        <x:v>Automated structural screening passed. Rewrite the explanation to teach the reasoning before publication.</x:v>
      </x:c>
    </x:row>
    <x:row r="96">
      <x:c r="A96" s="60" t="str">
        <x:v>QB-0181</x:v>
      </x:c>
      <x:c r="B96" s="62" t="n">
        <x:v>181</x:v>
      </x:c>
      <x:c r="C96" s="60" t="str">
        <x:v>Mathematics</x:v>
      </x:c>
      <x:c r="D96" s="60" t="str">
        <x:v>Easy</x:v>
      </x:c>
      <x:c r="E96" s="60" t="str">
        <x:v>General Mathematics</x:v>
      </x:c>
      <x:c r="F96" s="60" t="str">
        <x:v>The points ( – 4, 0 ), (4, 0) and (0, – 3) are the vertices of a/an</x:v>
      </x:c>
      <x:c r="G96" s="60" t="str">
        <x:v>right-angled triangle</x:v>
      </x:c>
      <x:c r="H96" s="60" t="str">
        <x:v>isosceles triangle</x:v>
      </x:c>
      <x:c r="I96" s="60" t="str">
        <x:v>equilateral triangle</x:v>
      </x:c>
      <x:c r="J96" s="60" t="str">
        <x:v>scalene triangle</x:v>
      </x:c>
      <x:c r="K96" s="60" t="str">
        <x:v>B</x:v>
      </x:c>
      <x:c r="L96" s="60" t="str">
        <x:v>isosceles triangle</x:v>
      </x:c>
      <x:c r="M96" s="60" t="str">
        <x:v>Substituting the given values for “The points 4 0 4 0 and” gives isosceles triangle.</x:v>
      </x:c>
      <x:c r="N96" s="60" t="str">
        <x:v>EFGH/S</x:v>
      </x:c>
      <x:c r="O96" s="60" t="str">
        <x:v>Mathematics</x:v>
      </x:c>
      <x:c r="P96" s="60" t="str">
        <x:v>Automated structural screening passed. Rewrite the explanation to teach the reasoning before publication.</x:v>
      </x:c>
    </x:row>
    <x:row r="97">
      <x:c r="A97" s="60" t="str">
        <x:v>QB-0186</x:v>
      </x:c>
      <x:c r="B97" s="62" t="n">
        <x:v>186</x:v>
      </x:c>
      <x:c r="C97" s="60" t="str">
        <x:v>Mathematics</x:v>
      </x:c>
      <x:c r="D97" s="60" t="str">
        <x:v>Hard</x:v>
      </x:c>
      <x:c r="E97" s="60" t="str">
        <x:v>Trigonometry</x:v>
      </x:c>
      <x:c r="F97" s="60" t="str">
        <x:v>M is a point on the y-axis, 4 units below the x-axis. The distance of M from Q(5, 1) is</x:v>
      </x:c>
      <x:c r="G97" s="60" t="str">
        <x:v>√2 units</x:v>
      </x:c>
      <x:c r="H97" s="60" t="str">
        <x:v>√34 units</x:v>
      </x:c>
      <x:c r="I97" s="60" t="str">
        <x:v>√50 units</x:v>
      </x:c>
      <x:c r="J97" s="60" t="str">
        <x:v>√90 units</x:v>
      </x:c>
      <x:c r="K97" s="60" t="str">
        <x:v>C</x:v>
      </x:c>
      <x:c r="L97" s="60" t="str">
        <x:v>√50 units</x:v>
      </x:c>
      <x:c r="M97" s="60" t="str">
        <x:v>The coordinate formula for “M is a point on the y” gives √50 units.</x:v>
      </x:c>
      <x:c r="N97" s="60" t="str">
        <x:v>EFGH/S</x:v>
      </x:c>
      <x:c r="O97" s="60" t="str">
        <x:v>Mathematics</x:v>
      </x:c>
      <x:c r="P97" s="60" t="str">
        <x:v>Automated structural screening passed. Rewrite the explanation to teach the reasoning before publication.</x:v>
      </x:c>
    </x:row>
    <x:row r="98">
      <x:c r="A98" s="60" t="str">
        <x:v>QB-0191</x:v>
      </x:c>
      <x:c r="B98" s="62" t="n">
        <x:v>191</x:v>
      </x:c>
      <x:c r="C98" s="60" t="str">
        <x:v>Mathematics</x:v>
      </x:c>
      <x:c r="D98" s="60" t="str">
        <x:v>Hard</x:v>
      </x:c>
      <x:c r="E98" s="60" t="str">
        <x:v>Trigonometry</x:v>
      </x:c>
      <x:c r="F98" s="60" t="str">
        <x:v>ABC is a triangle. B lies on x - axis at a distance of 4 units from y - axis at its right. C is on y - axis and it is 3 units away from the origin. If the coordinates of A are (0, 0), the perimeter of D ABC is</x:v>
      </x:c>
      <x:c r="G98" s="60" t="str">
        <x:v>7 units</x:v>
      </x:c>
      <x:c r="H98" s="60" t="str">
        <x:v>12 units</x:v>
      </x:c>
      <x:c r="I98" s="60" t="str">
        <x:v>6 units</x:v>
      </x:c>
      <x:c r="J98" s="60" t="str">
        <x:v>15 units</x:v>
      </x:c>
      <x:c r="K98" s="60" t="str">
        <x:v>B</x:v>
      </x:c>
      <x:c r="L98" s="60" t="str">
        <x:v>12 units</x:v>
      </x:c>
      <x:c r="M98" s="60" t="str">
        <x:v>The coordinate formula for “ABC is a triangle B lies on” gives 12 units.</x:v>
      </x:c>
      <x:c r="N98" s="60" t="str">
        <x:v>EFGH/S</x:v>
      </x:c>
      <x:c r="O98" s="60" t="str">
        <x:v>Mathematics</x:v>
      </x:c>
      <x:c r="P98" s="60" t="str">
        <x:v>Automated structural screening passed. Rewrite the explanation to teach the reasoning before publication.</x:v>
      </x:c>
    </x:row>
    <x:row r="99">
      <x:c r="A99" s="60" t="str">
        <x:v>QB-0194</x:v>
      </x:c>
      <x:c r="B99" s="62" t="n">
        <x:v>194</x:v>
      </x:c>
      <x:c r="C99" s="60" t="str">
        <x:v>Mathematics</x:v>
      </x:c>
      <x:c r="D99" s="60" t="str">
        <x:v>Hard</x:v>
      </x:c>
      <x:c r="E99" s="60" t="str">
        <x:v>Circle Theorems</x:v>
      </x:c>
      <x:c r="F99" s="60" t="str">
        <x:v>The difference between the areas of a semicircle of diameter 2r units and the largest triangle drawn inside the semicircle is</x:v>
      </x:c>
      <x:c r="G99" s="60" t="str">
        <x:v>2 4r 7 sq. units</x:v>
      </x:c>
      <x:c r="H99" s="60" t="str">
        <x:v>2 15r 7 sq. units</x:v>
      </x:c>
      <x:c r="I99" s="60" t="str">
        <x:v>2 15r 14 sq. units</x:v>
      </x:c>
      <x:c r="J99" s="60" t="str">
        <x:v>2 37r 14 sq. units</x:v>
      </x:c>
      <x:c r="K99" s="60" t="str">
        <x:v>A</x:v>
      </x:c>
      <x:c r="L99" s="60" t="str">
        <x:v>2 4r 7 sq. units</x:v>
      </x:c>
      <x:c r="M99" s="60" t="str">
        <x:v>Favourable outcomes divided by all equally likely outcomes gives 2 4r 7 sq. units.</x:v>
      </x:c>
      <x:c r="N99" s="60" t="str">
        <x:v>EFGH/S</x:v>
      </x:c>
      <x:c r="O99" s="60" t="str">
        <x:v>Mathematics</x:v>
      </x:c>
      <x:c r="P99" s="60" t="str">
        <x:v>Automated structural screening passed. Rewrite the explanation to teach the reasoning before publication.</x:v>
      </x:c>
    </x:row>
    <x:row r="100">
      <x:c r="A100" s="60" t="str">
        <x:v>QB-0195</x:v>
      </x:c>
      <x:c r="B100" s="62" t="n">
        <x:v>195</x:v>
      </x:c>
      <x:c r="C100" s="60" t="str">
        <x:v>Mathematics</x:v>
      </x:c>
      <x:c r="D100" s="60" t="str">
        <x:v>Easy</x:v>
      </x:c>
      <x:c r="E100" s="60" t="str">
        <x:v>General Mathematics</x:v>
      </x:c>
      <x:c r="F100" s="60" t="str">
        <x:v>Which term of the AP 7, 10, 13, ..... is 52?</x:v>
      </x:c>
      <x:c r="G100" s="60" t="str">
        <x:v>13 th</x:v>
      </x:c>
      <x:c r="H100" s="60" t="str">
        <x:v>15 th</x:v>
      </x:c>
      <x:c r="I100" s="60" t="str">
        <x:v>16 th</x:v>
      </x:c>
      <x:c r="J100" s="60" t="str">
        <x:v>17 th</x:v>
      </x:c>
      <x:c r="K100" s="60" t="str">
        <x:v>C</x:v>
      </x:c>
      <x:c r="L100" s="60" t="str">
        <x:v>16 th</x:v>
      </x:c>
      <x:c r="M100" s="60" t="str">
        <x:v>Applying the arithmetic-progression relation gives 16 th.</x:v>
      </x:c>
      <x:c r="N100" s="60" t="str">
        <x:v>EFGH/S</x:v>
      </x:c>
      <x:c r="O100" s="60" t="str">
        <x:v>Mathematics</x:v>
      </x:c>
      <x:c r="P100" s="60" t="str">
        <x:v>Automated structural screening passed. Rewrite the explanation to teach the reasoning before publication.</x:v>
      </x:c>
    </x:row>
    <x:row r="101">
      <x:c r="A101" s="60" t="str">
        <x:v>QB-0196</x:v>
      </x:c>
      <x:c r="B101" s="62" t="n">
        <x:v>196</x:v>
      </x:c>
      <x:c r="C101" s="60" t="str">
        <x:v>Mathematics</x:v>
      </x:c>
      <x:c r="D101" s="60" t="str">
        <x:v>Hard</x:v>
      </x:c>
      <x:c r="E101" s="60" t="str">
        <x:v>Circle Theorems</x:v>
      </x:c>
      <x:c r="F101" s="60" t="str">
        <x:v>A circle with centre P(4, 5) passes through the point A(0, 9). The length of the diagonal of the largest square inside this circle is</x:v>
      </x:c>
      <x:c r="G101" s="60" t="str">
        <x:v>4√2 units</x:v>
      </x:c>
      <x:c r="H101" s="60" t="str">
        <x:v>8√2 units</x:v>
      </x:c>
      <x:c r="I101" s="60" t="str">
        <x:v>√53 units</x:v>
      </x:c>
      <x:c r="J101" s="60" t="str">
        <x:v>2√53 units</x:v>
      </x:c>
      <x:c r="K101" s="60" t="str">
        <x:v>B</x:v>
      </x:c>
      <x:c r="L101" s="60" t="str">
        <x:v>8√2 units</x:v>
      </x:c>
      <x:c r="M101" s="60" t="str">
        <x:v>The relevant circle measure for “A circle with centre P 4 5” is 8√2 units.</x:v>
      </x:c>
      <x:c r="N101" s="60" t="str">
        <x:v>EFGH/S</x:v>
      </x:c>
      <x:c r="O101" s="60" t="str">
        <x:v>Mathematics</x:v>
      </x:c>
      <x:c r="P101" s="60" t="str">
        <x:v>Automated structural screening passed. Rewrite the explanation to teach the reasoning before publication.</x:v>
      </x:c>
    </x:row>
    <x:row r="102">
      <x:c r="A102" s="60" t="str">
        <x:v>QB-0199</x:v>
      </x:c>
      <x:c r="B102" s="62" t="n">
        <x:v>199</x:v>
      </x:c>
      <x:c r="C102" s="60" t="str">
        <x:v>Mathematics</x:v>
      </x:c>
      <x:c r="D102" s="60" t="str">
        <x:v>Medium</x:v>
      </x:c>
      <x:c r="E102" s="60" t="str">
        <x:v>Linear Equations</x:v>
      </x:c>
      <x:c r="F102" s="60" t="str">
        <x:v>The pair of linear equations 9 x – 15 y + 19 = 0 and 5y – 3x – 9 = 0 represents two lines which are</x:v>
      </x:c>
      <x:c r="G102" s="60" t="str">
        <x:v>intersecting exactly at one point .</x:v>
      </x:c>
      <x:c r="H102" s="60" t="str">
        <x:v>intersecting exactly at two points.</x:v>
      </x:c>
      <x:c r="I102" s="60" t="str">
        <x:v>parallel.</x:v>
      </x:c>
      <x:c r="J102" s="60" t="str">
        <x:v>coincident.</x:v>
      </x:c>
      <x:c r="K102" s="60" t="str">
        <x:v>C</x:v>
      </x:c>
      <x:c r="L102" s="60" t="str">
        <x:v>parallel.</x:v>
      </x:c>
      <x:c r="M102" s="60" t="str">
        <x:v>Substituting the given values for “The pair of linear equations 9 x” gives parallel..</x:v>
      </x:c>
      <x:c r="N102" s="60" t="str">
        <x:v>EFGH/S</x:v>
      </x:c>
      <x:c r="O102" s="60" t="str">
        <x:v>Mathematics</x:v>
      </x:c>
      <x:c r="P102" s="60" t="str">
        <x:v>Automated structural screening passed. Rewrite the explanation to teach the reasoning before publication.</x:v>
      </x:c>
    </x:row>
    <x:row r="103">
      <x:c r="A103" s="60" t="str">
        <x:v>QB-0204</x:v>
      </x:c>
      <x:c r="B103" s="62" t="n">
        <x:v>204</x:v>
      </x:c>
      <x:c r="C103" s="60" t="str">
        <x:v>Mathematics</x:v>
      </x:c>
      <x:c r="D103" s="60" t="str">
        <x:v>Easy</x:v>
      </x:c>
      <x:c r="E103" s="60" t="str">
        <x:v>General Mathematics</x:v>
      </x:c>
      <x:c r="F103" s="60" t="str">
        <x:v>The line represented by the equation x y = 0 is</x:v>
      </x:c>
      <x:c r="G103" s="60" t="str">
        <x:v>parallel to x-axis</x:v>
      </x:c>
      <x:c r="H103" s="60" t="str">
        <x:v>parallel to y-axis</x:v>
      </x:c>
      <x:c r="I103" s="60" t="str">
        <x:v>passing through the origin</x:v>
      </x:c>
      <x:c r="J103" s="60" t="str">
        <x:v>passing through the point (3</x:v>
      </x:c>
      <x:c r="K103" s="60" t="str">
        <x:v>C</x:v>
      </x:c>
      <x:c r="L103" s="60" t="str">
        <x:v>passing through the origin</x:v>
      </x:c>
      <x:c r="M103" s="60" t="str">
        <x:v>Substituting the given values for “The line represented by the equation x” gives passing through the origin.</x:v>
      </x:c>
      <x:c r="N103" s="60" t="str">
        <x:v>EGFH2</x:v>
      </x:c>
      <x:c r="O103" s="60" t="str">
        <x:v>Mathematics</x:v>
      </x:c>
      <x:c r="P103" s="60" t="str">
        <x:v>Automated structural screening passed. Rewrite the explanation to teach the reasoning before publication.</x:v>
      </x:c>
    </x:row>
    <x:row r="104">
      <x:c r="A104" s="60" t="str">
        <x:v>QB-0208</x:v>
      </x:c>
      <x:c r="B104" s="62" t="n">
        <x:v>208</x:v>
      </x:c>
      <x:c r="C104" s="60" t="str">
        <x:v>Mathematics</x:v>
      </x:c>
      <x:c r="D104" s="60" t="str">
        <x:v>Hard</x:v>
      </x:c>
      <x:c r="E104" s="60" t="str">
        <x:v>Circle Theorems</x:v>
      </x:c>
      <x:c r="F104" s="60" t="str">
        <x:v>If an arc of a circle of diameter 10 cm subtends an angle of 144 at the centre of the circle, then the length of the arc is</x:v>
      </x:c>
      <x:c r="G104" s="60" t="str">
        <x:v>2 cm</x:v>
      </x:c>
      <x:c r="H104" s="60" t="str">
        <x:v>4 cm</x:v>
      </x:c>
      <x:c r="I104" s="60" t="str">
        <x:v>5 cm</x:v>
      </x:c>
      <x:c r="J104" s="60" t="str">
        <x:v>6 cm</x:v>
      </x:c>
      <x:c r="K104" s="60" t="str">
        <x:v>B</x:v>
      </x:c>
      <x:c r="L104" s="60" t="str">
        <x:v>4 cm</x:v>
      </x:c>
      <x:c r="M104" s="60" t="str">
        <x:v>The relevant circle measure for “If an arc of a circle of” is 4 cm.</x:v>
      </x:c>
      <x:c r="N104" s="60" t="str">
        <x:v>EGFH2</x:v>
      </x:c>
      <x:c r="O104" s="60" t="str">
        <x:v>Mathematics</x:v>
      </x:c>
      <x:c r="P104" s="60" t="str">
        <x:v>Automated structural screening passed. Rewrite the explanation to teach the reasoning before publication.</x:v>
      </x:c>
    </x:row>
    <x:row r="105">
      <x:c r="A105" s="60" t="str">
        <x:v>QB-0210</x:v>
      </x:c>
      <x:c r="B105" s="62" t="n">
        <x:v>210</x:v>
      </x:c>
      <x:c r="C105" s="60" t="str">
        <x:v>Mathematics</x:v>
      </x:c>
      <x:c r="D105" s="60" t="str">
        <x:v>Easy</x:v>
      </x:c>
      <x:c r="E105" s="60" t="str">
        <x:v>General Mathematics</x:v>
      </x:c>
      <x:c r="F105" s="60" t="str">
        <x:v>DE | | BC, AD = 1·5 cm, DB = 3 cm EC = 2 cm AC</x:v>
      </x:c>
      <x:c r="G105" s="60" t="str">
        <x:v>1·5 cm</x:v>
      </x:c>
      <x:c r="H105" s="60" t="str">
        <x:v>3 cm</x:v>
      </x:c>
      <x:c r="I105" s="60" t="str">
        <x:v>3·5 cm</x:v>
      </x:c>
      <x:c r="J105" s="60" t="str">
        <x:v>4·5 cm</x:v>
      </x:c>
      <x:c r="K105" s="60" t="str">
        <x:v>B</x:v>
      </x:c>
      <x:c r="L105" s="60" t="str">
        <x:v>3 cm</x:v>
      </x:c>
      <x:c r="M105" s="60" t="str">
        <x:v>Substituting the given values for “DE BC AD 1 5 cm DB” gives 3 cm.</x:v>
      </x:c>
      <x:c r="N105" s="60" t="str">
        <x:v>EGFH2</x:v>
      </x:c>
      <x:c r="O105" s="60" t="str">
        <x:v>Mathematics</x:v>
      </x:c>
      <x:c r="P105" s="60" t="str">
        <x:v>Automated structural screening passed. Rewrite the explanation to teach the reasoning before publication.</x:v>
      </x:c>
    </x:row>
    <x:row r="106">
      <x:c r="A106" s="60" t="str">
        <x:v>QB-0211</x:v>
      </x:c>
      <x:c r="B106" s="62" t="n">
        <x:v>211</x:v>
      </x:c>
      <x:c r="C106" s="60" t="str">
        <x:v>Mathematics</x:v>
      </x:c>
      <x:c r="D106" s="60" t="str">
        <x:v>Easy</x:v>
      </x:c>
      <x:c r="E106" s="60" t="str">
        <x:v>Statistics</x:v>
      </x:c>
      <x:c r="F106" s="60" t="str">
        <x:v>For a distribution, if mean = median = a, then its mode is</x:v>
      </x:c>
      <x:c r="G106" s="60" t="str">
        <x:v>3a</x:v>
      </x:c>
      <x:c r="H106" s="60" t="str">
        <x:v>2a</x:v>
      </x:c>
      <x:c r="I106" s="60" t="str">
        <x:v>a</x:v>
      </x:c>
      <x:c r="J106" s="60" t="str">
        <x:v>0</x:v>
      </x:c>
      <x:c r="K106" s="60" t="str">
        <x:v>C</x:v>
      </x:c>
      <x:c r="L106" s="60" t="str">
        <x:v>a</x:v>
      </x:c>
      <x:c r="M106" s="60" t="str">
        <x:v>Substituting the given data in the statistics formula gives a.</x:v>
      </x:c>
      <x:c r="N106" s="60" t="str">
        <x:v>EGFH2</x:v>
      </x:c>
      <x:c r="O106" s="60" t="str">
        <x:v>Mathematics</x:v>
      </x:c>
      <x:c r="P106" s="60" t="str">
        <x:v>Automated structural screening passed. Rewrite the explanation to teach the reasoning before publication.</x:v>
      </x:c>
    </x:row>
    <x:row r="107">
      <x:c r="A107" s="60" t="str">
        <x:v>QB-0212</x:v>
      </x:c>
      <x:c r="B107" s="62" t="n">
        <x:v>212</x:v>
      </x:c>
      <x:c r="C107" s="60" t="str">
        <x:v>Mathematics</x:v>
      </x:c>
      <x:c r="D107" s="60" t="str">
        <x:v>Easy</x:v>
      </x:c>
      <x:c r="E107" s="60" t="str">
        <x:v>Statistics</x:v>
      </x:c>
      <x:c r="F107" s="60" t="str">
        <x:v>In the formula of mode given by mode = l + f1 denotes the</x:v>
      </x:c>
      <x:c r="G107" s="60" t="str">
        <x:v>frequency of the modal class</x:v>
      </x:c>
      <x:c r="H107" s="60" t="str">
        <x:v>frequency of class preceding modal class</x:v>
      </x:c>
      <x:c r="I107" s="60" t="str">
        <x:v>frequency of class succeeding modal class</x:v>
      </x:c>
      <x:c r="J107" s="60" t="str">
        <x:v>cumulative frequency of modal class</x:v>
      </x:c>
      <x:c r="K107" s="60" t="str">
        <x:v>A</x:v>
      </x:c>
      <x:c r="L107" s="60" t="str">
        <x:v>frequency of the modal class</x:v>
      </x:c>
      <x:c r="M107" s="60" t="str">
        <x:v>Substituting the given data in the statistics formula gives frequency of the modal class.</x:v>
      </x:c>
      <x:c r="N107" s="60" t="str">
        <x:v>EGFH2</x:v>
      </x:c>
      <x:c r="O107" s="60" t="str">
        <x:v>Mathematics</x:v>
      </x:c>
      <x:c r="P107" s="60" t="str">
        <x:v>Automated structural screening passed. Rewrite the explanation to teach the reasoning before publication.</x:v>
      </x:c>
    </x:row>
    <x:row r="108">
      <x:c r="A108" s="60" t="str">
        <x:v>QB-0214</x:v>
      </x:c>
      <x:c r="B108" s="62" t="n">
        <x:v>214</x:v>
      </x:c>
      <x:c r="C108" s="60" t="str">
        <x:v>Mathematics</x:v>
      </x:c>
      <x:c r="D108" s="60" t="str">
        <x:v>Hard</x:v>
      </x:c>
      <x:c r="E108" s="60" t="str">
        <x:v>Trigonometry</x:v>
      </x:c>
      <x:c r="F108" s="60" t="str">
        <x:v>In two concentric circles, a tangent to the smaller circle will intersect the larger circle at</x:v>
      </x:c>
      <x:c r="G108" s="60" t="str">
        <x:v>zero point</x:v>
      </x:c>
      <x:c r="H108" s="60" t="str">
        <x:v>one point</x:v>
      </x:c>
      <x:c r="I108" s="60" t="str">
        <x:v>two points</x:v>
      </x:c>
      <x:c r="J108" s="60" t="str">
        <x:v>three points</x:v>
      </x:c>
      <x:c r="K108" s="60" t="str">
        <x:v>C</x:v>
      </x:c>
      <x:c r="L108" s="60" t="str">
        <x:v>two points</x:v>
      </x:c>
      <x:c r="M108" s="60" t="str">
        <x:v>The relevant circle measure for “In two concentric circles a tangent to” is two points.</x:v>
      </x:c>
      <x:c r="N108" s="60" t="str">
        <x:v>EGFH2</x:v>
      </x:c>
      <x:c r="O108" s="60" t="str">
        <x:v>Mathematics</x:v>
      </x:c>
      <x:c r="P108" s="60" t="str">
        <x:v>Automated structural screening passed. Rewrite the explanation to teach the reasoning before publication.</x:v>
      </x:c>
    </x:row>
    <x:row r="109">
      <x:c r="A109" s="60" t="str">
        <x:v>QB-0216</x:v>
      </x:c>
      <x:c r="B109" s="62" t="n">
        <x:v>216</x:v>
      </x:c>
      <x:c r="C109" s="60" t="str">
        <x:v>Mathematics</x:v>
      </x:c>
      <x:c r="D109" s="60" t="str">
        <x:v>Medium</x:v>
      </x:c>
      <x:c r="E109" s="60" t="str">
        <x:v>Mensuration</x:v>
      </x:c>
      <x:c r="F109" s="60" t="str">
        <x:v>on a solid cylinder of same dimensions. The total surface area of the entire solid will be</x:v>
      </x:c>
      <x:c r="G109" s="60" t="str">
        <x:v>2rh + r</x:v>
      </x:c>
      <x:c r="H109" s="60" t="str">
        <x:v>2rh + r2 + r</x:v>
      </x:c>
      <x:c r="I109" s="60" t="str">
        <x:v>2rh + 2r2 + r</x:v>
      </x:c>
      <x:c r="J109" s="60" t="str">
        <x:v>2rh + r r2</x:v>
      </x:c>
      <x:c r="K109" s="60" t="str">
        <x:v>B</x:v>
      </x:c>
      <x:c r="L109" s="60" t="str">
        <x:v>2rh + r2 + r</x:v>
      </x:c>
      <x:c r="M109" s="60" t="str">
        <x:v>The stated mensuration formula evaluates to 2rh + r2 + r.</x:v>
      </x:c>
      <x:c r="N109" s="60" t="str">
        <x:v>EGFH2</x:v>
      </x:c>
      <x:c r="O109" s="60" t="str">
        <x:v>Mathematics</x:v>
      </x:c>
      <x:c r="P109" s="60" t="str">
        <x:v>Automated structural screening passed. Rewrite the explanation to teach the reasoning before publication.</x:v>
      </x:c>
    </x:row>
    <x:row r="110">
      <x:c r="A110" s="60" t="str">
        <x:v>QB-0219</x:v>
      </x:c>
      <x:c r="B110" s="62" t="n">
        <x:v>219</x:v>
      </x:c>
      <x:c r="C110" s="60" t="str">
        <x:v>Mathematics</x:v>
      </x:c>
      <x:c r="D110" s="60" t="str">
        <x:v>Medium</x:v>
      </x:c>
      <x:c r="E110" s="60" t="str">
        <x:v>Linear Equations</x:v>
      </x:c>
      <x:c r="F110" s="60" t="str">
        <x:v>The number of solutions of the system of equations x = 3, y = 1 is</x:v>
      </x:c>
      <x:c r="G110" s="60" t="str">
        <x:v>0</x:v>
      </x:c>
      <x:c r="H110" s="60" t="str">
        <x:v>1</x:v>
      </x:c>
      <x:c r="I110" s="60" t="str">
        <x:v>2</x:v>
      </x:c>
      <x:c r="J110" s="60" t="str">
        <x:v>Infinite</x:v>
      </x:c>
      <x:c r="K110" s="60" t="str">
        <x:v>B</x:v>
      </x:c>
      <x:c r="L110" s="60" t="str">
        <x:v>1</x:v>
      </x:c>
      <x:c r="M110" s="60" t="str">
        <x:v>Substituting the given values for “The number of solutions of the system” gives 1.</x:v>
      </x:c>
      <x:c r="N110" s="60" t="str">
        <x:v>EGFH2</x:v>
      </x:c>
      <x:c r="O110" s="60" t="str">
        <x:v>Mathematics</x:v>
      </x:c>
      <x:c r="P110" s="60" t="str">
        <x:v>Automated structural screening passed. Rewrite the explanation to teach the reasoning before publication.</x:v>
      </x:c>
    </x:row>
    <x:row r="111">
      <x:c r="A111" s="60" t="str">
        <x:v>QB-0222</x:v>
      </x:c>
      <x:c r="B111" s="62" t="n">
        <x:v>222</x:v>
      </x:c>
      <x:c r="C111" s="60" t="str">
        <x:v>Mathematics</x:v>
      </x:c>
      <x:c r="D111" s="60" t="str">
        <x:v>Medium</x:v>
      </x:c>
      <x:c r="E111" s="60" t="str">
        <x:v>Mensuration</x:v>
      </x:c>
      <x:c r="F111" s="60" t="str">
        <x:v>radius. The total surface area of the entire solid will be</x:v>
      </x:c>
      <x:c r="G111" s="60" t="str">
        <x:v>rh + r2</x:v>
      </x:c>
      <x:c r="H111" s="60" t="str">
        <x:v>r + r2</x:v>
      </x:c>
      <x:c r="I111" s="60" t="str">
        <x:v>r + 2r2</x:v>
      </x:c>
      <x:c r="J111" s="60" t="str">
        <x:v>r + 3r2</x:v>
      </x:c>
      <x:c r="K111" s="60" t="str">
        <x:v>C</x:v>
      </x:c>
      <x:c r="L111" s="60" t="str">
        <x:v>r + 2r2</x:v>
      </x:c>
      <x:c r="M111" s="60" t="str">
        <x:v>The stated mensuration formula evaluates to r + 2r2.</x:v>
      </x:c>
      <x:c r="N111" s="60" t="str">
        <x:v>EGFH2</x:v>
      </x:c>
      <x:c r="O111" s="60" t="str">
        <x:v>Mathematics</x:v>
      </x:c>
      <x:c r="P111" s="60" t="str">
        <x:v>Automated structural screening passed. Rewrite the explanation to teach the reasoning before publication.</x:v>
      </x:c>
    </x:row>
    <x:row r="112">
      <x:c r="A112" s="60" t="str">
        <x:v>QB-0223</x:v>
      </x:c>
      <x:c r="B112" s="62" t="n">
        <x:v>223</x:v>
      </x:c>
      <x:c r="C112" s="60" t="str">
        <x:v>Mathematics</x:v>
      </x:c>
      <x:c r="D112" s="60" t="str">
        <x:v>Medium</x:v>
      </x:c>
      <x:c r="E112" s="60" t="str">
        <x:v>Linear Equations</x:v>
      </x:c>
      <x:c r="F112" s="60" t="str">
        <x:v>The number of solutions of the system of equations x = a, x = b (a b) is</x:v>
      </x:c>
      <x:c r="G112" s="60" t="str">
        <x:v>0</x:v>
      </x:c>
      <x:c r="H112" s="60" t="str">
        <x:v>1</x:v>
      </x:c>
      <x:c r="I112" s="60" t="str">
        <x:v>2</x:v>
      </x:c>
      <x:c r="J112" s="60" t="str">
        <x:v>Infinite</x:v>
      </x:c>
      <x:c r="K112" s="60" t="str">
        <x:v>A</x:v>
      </x:c>
      <x:c r="L112" s="60" t="str">
        <x:v>0</x:v>
      </x:c>
      <x:c r="M112" s="60" t="str">
        <x:v>Substituting the given values for “The number of solutions of the system” gives 0.</x:v>
      </x:c>
      <x:c r="N112" s="60" t="str">
        <x:v>EGFH2</x:v>
      </x:c>
      <x:c r="O112" s="60" t="str">
        <x:v>Mathematics</x:v>
      </x:c>
      <x:c r="P112" s="60" t="str">
        <x:v>Automated structural screening passed. Rewrite the explanation to teach the reasoning before publication.</x:v>
      </x:c>
    </x:row>
    <x:row r="113">
      <x:c r="A113" s="60" t="str">
        <x:v>QB-0225</x:v>
      </x:c>
      <x:c r="B113" s="62" t="n">
        <x:v>225</x:v>
      </x:c>
      <x:c r="C113" s="60" t="str">
        <x:v>Mathematics</x:v>
      </x:c>
      <x:c r="D113" s="60" t="str">
        <x:v>Easy</x:v>
      </x:c>
      <x:c r="E113" s="60" t="str">
        <x:v>Statistics</x:v>
      </x:c>
      <x:c r="F113" s="60" t="str">
        <x:v>Mode and Mean of a data are 15x and 18x, respectively. Then the median of the data is</x:v>
      </x:c>
      <x:c r="G113" s="60" t="str">
        <x:v>x</x:v>
      </x:c>
      <x:c r="H113" s="60" t="str">
        <x:v>11x</x:v>
      </x:c>
      <x:c r="I113" s="60" t="str">
        <x:v>17x</x:v>
      </x:c>
      <x:c r="J113" s="60" t="str">
        <x:v>34x</x:v>
      </x:c>
      <x:c r="K113" s="60" t="str">
        <x:v>C</x:v>
      </x:c>
      <x:c r="L113" s="60" t="str">
        <x:v>17x</x:v>
      </x:c>
      <x:c r="M113" s="60" t="str">
        <x:v>Substituting the given data in the statistics formula gives 17x.</x:v>
      </x:c>
      <x:c r="N113" s="60" t="str">
        <x:v>GE1FH</x:v>
      </x:c>
      <x:c r="O113" s="60" t="str">
        <x:v>Mathematics</x:v>
      </x:c>
      <x:c r="P113" s="60" t="str">
        <x:v>Automated structural screening passed. Rewrite the explanation to teach the reasoning before publication.</x:v>
      </x:c>
    </x:row>
    <x:row r="114">
      <x:c r="A114" s="60" t="str">
        <x:v>QB-0227</x:v>
      </x:c>
      <x:c r="B114" s="62" t="n">
        <x:v>227</x:v>
      </x:c>
      <x:c r="C114" s="60" t="str">
        <x:v>Mathematics</x:v>
      </x:c>
      <x:c r="D114" s="60" t="str">
        <x:v>Hard</x:v>
      </x:c>
      <x:c r="E114" s="60" t="str">
        <x:v>Trigonometry</x:v>
      </x:c>
      <x:c r="F114" s="60" t="str">
        <x:v>An arc of a circle is of length 5 cm and the sector it bounds has an area of 20 cm2. Its radius is</x:v>
      </x:c>
      <x:c r="G114" s="60" t="str">
        <x:v>10 cm</x:v>
      </x:c>
      <x:c r="H114" s="60" t="str">
        <x:v>1 cm</x:v>
      </x:c>
      <x:c r="I114" s="60" t="str">
        <x:v>5 cm</x:v>
      </x:c>
      <x:c r="J114" s="60" t="str">
        <x:v>8 cm</x:v>
      </x:c>
      <x:c r="K114" s="60" t="str">
        <x:v>D</x:v>
      </x:c>
      <x:c r="L114" s="60" t="str">
        <x:v>8 cm</x:v>
      </x:c>
      <x:c r="M114" s="60" t="str">
        <x:v>The relevant circle measure for “An arc of a circle is of” is 8 cm.</x:v>
      </x:c>
      <x:c r="N114" s="60" t="str">
        <x:v>GE1FH</x:v>
      </x:c>
      <x:c r="O114" s="60" t="str">
        <x:v>Mathematics</x:v>
      </x:c>
      <x:c r="P114" s="60" t="str">
        <x:v>Automated structural screening passed. Rewrite the explanation to teach the reasoning before publication.</x:v>
      </x:c>
    </x:row>
    <x:row r="115">
      <x:c r="A115" s="60" t="str">
        <x:v>QB-0229</x:v>
      </x:c>
      <x:c r="B115" s="62" t="n">
        <x:v>229</x:v>
      </x:c>
      <x:c r="C115" s="60" t="str">
        <x:v>Mathematics</x:v>
      </x:c>
      <x:c r="D115" s="60" t="str">
        <x:v>Medium</x:v>
      </x:c>
      <x:c r="E115" s="60" t="str">
        <x:v>Linear Equations</x:v>
      </x:c>
      <x:c r="F115" s="60" t="str">
        <x:v>If x = 1 and y = 2 is a solution of the pair of linear equations 2x 3y + a = 0 and 2x + 3y b = 0, then</x:v>
      </x:c>
      <x:c r="G115" s="60" t="str">
        <x:v>a = 2b</x:v>
      </x:c>
      <x:c r="H115" s="60" t="str">
        <x:v>2a = b</x:v>
      </x:c>
      <x:c r="I115" s="60" t="str">
        <x:v>a + 2b = 0</x:v>
      </x:c>
      <x:c r="J115" s="60" t="str">
        <x:v>2a + b = 0</x:v>
      </x:c>
      <x:c r="K115" s="60" t="str">
        <x:v>B</x:v>
      </x:c>
      <x:c r="L115" s="60" t="str">
        <x:v>2a = b</x:v>
      </x:c>
      <x:c r="M115" s="60" t="str">
        <x:v>Substituting the given values for “If x 1 and y 2 is” gives 2a = b.</x:v>
      </x:c>
      <x:c r="N115" s="60" t="str">
        <x:v>GE1FH</x:v>
      </x:c>
      <x:c r="O115" s="60" t="str">
        <x:v>Mathematics</x:v>
      </x:c>
      <x:c r="P115" s="60" t="str">
        <x:v>Automated structural screening passed. Rewrite the explanation to teach the reasoning before publication.</x:v>
      </x:c>
    </x:row>
    <x:row r="116">
      <x:c r="A116" s="60" t="str">
        <x:v>QB-0231</x:v>
      </x:c>
      <x:c r="B116" s="62" t="n">
        <x:v>231</x:v>
      </x:c>
      <x:c r="C116" s="60" t="str">
        <x:v>Mathematics</x:v>
      </x:c>
      <x:c r="D116" s="60" t="str">
        <x:v>Medium</x:v>
      </x:c>
      <x:c r="E116" s="60" t="str">
        <x:v>Coordinate Geometry</x:v>
      </x:c>
      <x:c r="F116" s="60" t="str">
        <x:v>The midpoint of the line segment joining P(−4, 5) and Q(4, 6) lies on</x:v>
      </x:c>
      <x:c r="G116" s="60" t="str">
        <x:v>x-axis</x:v>
      </x:c>
      <x:c r="H116" s="60" t="str">
        <x:v>y-axis</x:v>
      </x:c>
      <x:c r="I116" s="60" t="str">
        <x:v>origin</x:v>
      </x:c>
      <x:c r="J116" s="60" t="str">
        <x:v>neither x-axis nor y-axis</x:v>
      </x:c>
      <x:c r="K116" s="60" t="str">
        <x:v>B</x:v>
      </x:c>
      <x:c r="L116" s="60" t="str">
        <x:v>y-axis</x:v>
      </x:c>
      <x:c r="M116" s="60" t="str">
        <x:v>The coordinate formula for “The midpoint of the line segment joining” gives y-axis.</x:v>
      </x:c>
      <x:c r="N116" s="60" t="str">
        <x:v>GE1FH</x:v>
      </x:c>
      <x:c r="O116" s="60" t="str">
        <x:v>Mathematics</x:v>
      </x:c>
      <x:c r="P116" s="60" t="str">
        <x:v>Automated structural screening passed. Rewrite the explanation to teach the reasoning before publication.</x:v>
      </x:c>
    </x:row>
    <x:row r="117">
      <x:c r="A117" s="60" t="str">
        <x:v>QB-0234</x:v>
      </x:c>
      <x:c r="B117" s="62" t="n">
        <x:v>234</x:v>
      </x:c>
      <x:c r="C117" s="60" t="str">
        <x:v>Mathematics</x:v>
      </x:c>
      <x:c r="D117" s="60" t="str">
        <x:v>Easy</x:v>
      </x:c>
      <x:c r="E117" s="60" t="str">
        <x:v>General Mathematics</x:v>
      </x:c>
      <x:c r="F117" s="60" t="str">
        <x:v>If (−1)ⁿ + (−1)⁸ = 0, then n is</x:v>
      </x:c>
      <x:c r="G117" s="60" t="str">
        <x:v>any positive integer</x:v>
      </x:c>
      <x:c r="H117" s="60" t="str">
        <x:v>any negative integer</x:v>
      </x:c>
      <x:c r="I117" s="60" t="str">
        <x:v>any odd number</x:v>
      </x:c>
      <x:c r="J117" s="60" t="str">
        <x:v>any even number</x:v>
      </x:c>
      <x:c r="K117" s="60" t="str">
        <x:v>C</x:v>
      </x:c>
      <x:c r="L117" s="60" t="str">
        <x:v>any odd number</x:v>
      </x:c>
      <x:c r="M117" s="60" t="str">
        <x:v>Substituting the given values for “If 1 1 0 then n is” gives any odd number.</x:v>
      </x:c>
      <x:c r="N117" s="60" t="str">
        <x:v>GE1FH</x:v>
      </x:c>
      <x:c r="O117" s="60" t="str">
        <x:v>Mathematics</x:v>
      </x:c>
      <x:c r="P117" s="60" t="str">
        <x:v>Automated structural screening passed. Rewrite the explanation to teach the reasoning before publication.</x:v>
      </x:c>
    </x:row>
    <x:row r="118">
      <x:c r="A118" s="60" t="str">
        <x:v>QB-0235</x:v>
      </x:c>
      <x:c r="B118" s="62" t="n">
        <x:v>235</x:v>
      </x:c>
      <x:c r="C118" s="60" t="str">
        <x:v>Mathematics</x:v>
      </x:c>
      <x:c r="D118" s="60" t="str">
        <x:v>Hard</x:v>
      </x:c>
      <x:c r="E118" s="60" t="str">
        <x:v>Trigonometry</x:v>
      </x:c>
      <x:c r="F118" s="60" t="str">
        <x:v>If a sector of a circle has an area of 40 sq. units and a central angle of 72, the radius of the circle is</x:v>
      </x:c>
      <x:c r="G118" s="60" t="str">
        <x:v>200 units</x:v>
      </x:c>
      <x:c r="H118" s="60" t="str">
        <x:v>100 units</x:v>
      </x:c>
      <x:c r="I118" s="60" t="str">
        <x:v>20 units</x:v>
      </x:c>
      <x:c r="J118" s="60" t="str">
        <x:v>102 units</x:v>
      </x:c>
      <x:c r="K118" s="60" t="str">
        <x:v>D</x:v>
      </x:c>
      <x:c r="L118" s="60" t="str">
        <x:v>102 units</x:v>
      </x:c>
      <x:c r="M118" s="60" t="str">
        <x:v>The relevant circle measure for “If a sector of a circle has” is 102 units.</x:v>
      </x:c>
      <x:c r="N118" s="60" t="str">
        <x:v>GE1FH</x:v>
      </x:c>
      <x:c r="O118" s="60" t="str">
        <x:v>Mathematics</x:v>
      </x:c>
      <x:c r="P118" s="60" t="str">
        <x:v>Automated structural screening passed. Rewrite the explanation to teach the reasoning before publication.</x:v>
      </x:c>
    </x:row>
    <x:row r="119">
      <x:c r="A119" s="60" t="str">
        <x:v>QB-0239</x:v>
      </x:c>
      <x:c r="B119" s="62" t="n">
        <x:v>239</x:v>
      </x:c>
      <x:c r="C119" s="60" t="str">
        <x:v>Mathematics</x:v>
      </x:c>
      <x:c r="D119" s="60" t="str">
        <x:v>Easy</x:v>
      </x:c>
      <x:c r="E119" s="60" t="str">
        <x:v>Geometry</x:v>
      </x:c>
      <x:c r="F119" s="60" t="str">
        <x:v>In triangles ABC and DEF, B = E, F = C and AB = 3 DE. Then, the two triangles are</x:v>
      </x:c>
      <x:c r="G119" s="60" t="str">
        <x:v>congruent but not similar</x:v>
      </x:c>
      <x:c r="H119" s="60" t="str">
        <x:v>congruent as well as similar</x:v>
      </x:c>
      <x:c r="I119" s="60" t="str">
        <x:v>neither congruent nor similar</x:v>
      </x:c>
      <x:c r="J119" s="60" t="str">
        <x:v>similar but not congruent</x:v>
      </x:c>
      <x:c r="K119" s="60" t="str">
        <x:v>D</x:v>
      </x:c>
      <x:c r="L119" s="60" t="str">
        <x:v>similar but not congruent</x:v>
      </x:c>
      <x:c r="M119" s="60" t="str">
        <x:v>Substituting the given values for “In triangles ABC and DEF B E” gives similar but not congruent.</x:v>
      </x:c>
      <x:c r="N119" s="60" t="str">
        <x:v>GE1FH</x:v>
      </x:c>
      <x:c r="O119" s="60" t="str">
        <x:v>Mathematics</x:v>
      </x:c>
      <x:c r="P119" s="60" t="str">
        <x:v>Automated structural screening passed. Rewrite the explanation to teach the reasoning before publication.</x:v>
      </x:c>
    </x:row>
    <x:row r="120">
      <x:c r="A120" s="60" t="str">
        <x:v>QB-0241</x:v>
      </x:c>
      <x:c r="B120" s="62" t="n">
        <x:v>241</x:v>
      </x:c>
      <x:c r="C120" s="60" t="str">
        <x:v>Mathematics</x:v>
      </x:c>
      <x:c r="D120" s="60" t="str">
        <x:v>Hard</x:v>
      </x:c>
      <x:c r="E120" s="60" t="str">
        <x:v>Trigonometry</x:v>
      </x:c>
      <x:c r="F120" s="60" t="str">
        <x:v>The tangents drawn at the extremities of the diameter of a circle are always</x:v>
      </x:c>
      <x:c r="G120" s="60" t="str">
        <x:v>parallel</x:v>
      </x:c>
      <x:c r="H120" s="60" t="str">
        <x:v>perpendicular</x:v>
      </x:c>
      <x:c r="I120" s="60" t="str">
        <x:v>equal</x:v>
      </x:c>
      <x:c r="J120" s="60" t="str">
        <x:v>intersecting</x:v>
      </x:c>
      <x:c r="K120" s="60" t="str">
        <x:v>A</x:v>
      </x:c>
      <x:c r="L120" s="60" t="str">
        <x:v>parallel</x:v>
      </x:c>
      <x:c r="M120" s="60" t="str">
        <x:v>Favourable outcomes divided by all equally likely outcomes gives parallel.</x:v>
      </x:c>
      <x:c r="N120" s="60" t="str">
        <x:v>GE1FH</x:v>
      </x:c>
      <x:c r="O120" s="60" t="str">
        <x:v>Mathematics</x:v>
      </x:c>
      <x:c r="P120" s="60" t="str">
        <x:v>Automated structural screening passed. Rewrite the explanation to teach the reasoning before publication.</x:v>
      </x:c>
    </x:row>
    <x:row r="121">
      <x:c r="A121" s="60" t="str">
        <x:v>QB-0243</x:v>
      </x:c>
      <x:c r="B121" s="62" t="n">
        <x:v>243</x:v>
      </x:c>
      <x:c r="C121" s="60" t="str">
        <x:v>Mathematics</x:v>
      </x:c>
      <x:c r="D121" s="60" t="str">
        <x:v>Easy</x:v>
      </x:c>
      <x:c r="E121" s="60" t="str">
        <x:v>Statistics</x:v>
      </x:c>
      <x:c r="F121" s="60" t="str">
        <x:v>What is the mode of a data if median and mean of the same data are 9·6 and 10·5, respectively?</x:v>
      </x:c>
      <x:c r="G121" s="60" t="str">
        <x:v>7·8</x:v>
      </x:c>
      <x:c r="H121" s="60" t="str">
        <x:v>12·3</x:v>
      </x:c>
      <x:c r="I121" s="60" t="str">
        <x:v>8·4</x:v>
      </x:c>
      <x:c r="J121" s="60" t="str">
        <x:v>7</x:v>
      </x:c>
      <x:c r="K121" s="60" t="str">
        <x:v>A</x:v>
      </x:c>
      <x:c r="L121" s="60" t="str">
        <x:v>7·8</x:v>
      </x:c>
      <x:c r="M121" s="60" t="str">
        <x:v>Substituting the given data in the statistics formula gives 7·8.</x:v>
      </x:c>
      <x:c r="N121" s="60" t="str">
        <x:v>GE1FH</x:v>
      </x:c>
      <x:c r="O121" s="60" t="str">
        <x:v>Mathematics</x:v>
      </x:c>
      <x:c r="P121" s="60" t="str">
        <x:v>Automated structural screening passed. Rewrite the explanation to teach the reasoning before publication.</x:v>
      </x:c>
    </x:row>
    <x:row r="122">
      <x:c r="A122" s="60" t="str">
        <x:v>QB-0244</x:v>
      </x:c>
      <x:c r="B122" s="62" t="n">
        <x:v>244</x:v>
      </x:c>
      <x:c r="C122" s="60" t="str">
        <x:v>Mathematics</x:v>
      </x:c>
      <x:c r="D122" s="60" t="str">
        <x:v>Medium</x:v>
      </x:c>
      <x:c r="E122" s="60" t="str">
        <x:v>Mensuration</x:v>
      </x:c>
      <x:c r="F122" s="60" t="str">
        <x:v>For which of the following solids is the lateral / curved surface area and total surface area the same?</x:v>
      </x:c>
      <x:c r="G122" s="60" t="str">
        <x:v>Cube</x:v>
      </x:c>
      <x:c r="H122" s="60" t="str">
        <x:v>Cuboid</x:v>
      </x:c>
      <x:c r="I122" s="60" t="str">
        <x:v>Hemisphere</x:v>
      </x:c>
      <x:c r="J122" s="60" t="str">
        <x:v>Sphere</x:v>
      </x:c>
      <x:c r="K122" s="60" t="str">
        <x:v>D</x:v>
      </x:c>
      <x:c r="L122" s="60" t="str">
        <x:v>Sphere</x:v>
      </x:c>
      <x:c r="M122" s="60" t="str">
        <x:v>The stated mensuration formula evaluates to Sphere.</x:v>
      </x:c>
      <x:c r="N122" s="60" t="str">
        <x:v>GE1FH</x:v>
      </x:c>
      <x:c r="O122" s="60" t="str">
        <x:v>Mathematics</x:v>
      </x:c>
      <x:c r="P122" s="60" t="str">
        <x:v>Automated structural screening passed. Rewrite the explanation to teach the reasoning before publication.</x:v>
      </x:c>
    </x:row>
    <x:row r="123">
      <x:c r="A123" s="60" t="str">
        <x:v>QB-0245</x:v>
      </x:c>
      <x:c r="B123" s="62" t="n">
        <x:v>245</x:v>
      </x:c>
      <x:c r="C123" s="60" t="str">
        <x:v>Mathematics</x:v>
      </x:c>
      <x:c r="D123" s="60" t="str">
        <x:v>Easy</x:v>
      </x:c>
      <x:c r="E123" s="60" t="str">
        <x:v>Probability</x:v>
      </x:c>
      <x:c r="F123" s="60" t="str">
        <x:v>In a random experiment of throwing a die, which of the following is a sure event?</x:v>
      </x:c>
      <x:c r="G123" s="60" t="str">
        <x:v>Getting a number between 1 and 6</x:v>
      </x:c>
      <x:c r="H123" s="60" t="str">
        <x:v>Getting an odd number &lt; 7</x:v>
      </x:c>
      <x:c r="I123" s="60" t="str">
        <x:v>Getting an even number &lt; 7</x:v>
      </x:c>
      <x:c r="J123" s="60" t="str">
        <x:v>Getting a natural number &lt; 7 1920 (A) (R)</x:v>
      </x:c>
      <x:c r="K123" s="60" t="str">
        <x:v>A</x:v>
      </x:c>
      <x:c r="L123" s="60" t="str">
        <x:v>Getting a number between 1 and 6</x:v>
      </x:c>
      <x:c r="M123" s="60" t="str">
        <x:v>Substituting the given values for “In a random experiment of throwing a” gives Getting a number between 1 and 6.</x:v>
      </x:c>
      <x:c r="N123" s="60" t="str">
        <x:v>GE1FH</x:v>
      </x:c>
      <x:c r="O123" s="60" t="str">
        <x:v>Mathematics</x:v>
      </x:c>
      <x:c r="P123" s="60" t="str">
        <x:v>Automated structural screening passed. Rewrite the explanation to teach the reasoning before publication.</x:v>
      </x:c>
    </x:row>
    <x:row r="124">
      <x:c r="A124" s="60" t="str">
        <x:v>QB-0246</x:v>
      </x:c>
      <x:c r="B124" s="62" t="n">
        <x:v>246</x:v>
      </x:c>
      <x:c r="C124" s="60" t="str">
        <x:v>Mathematics</x:v>
      </x:c>
      <x:c r="D124" s="60" t="str">
        <x:v>Easy</x:v>
      </x:c>
      <x:c r="E124" s="60" t="str">
        <x:v>Geometry</x:v>
      </x:c>
      <x:c r="F124" s="60" t="str">
        <x:v>Which of the following is not the criterion for similarity of triangles?</x:v>
      </x:c>
      <x:c r="G124" s="60" t="str">
        <x:v>AAA</x:v>
      </x:c>
      <x:c r="H124" s="60" t="str">
        <x:v>SSS</x:v>
      </x:c>
      <x:c r="I124" s="60" t="str">
        <x:v>SAS</x:v>
      </x:c>
      <x:c r="J124" s="60" t="str">
        <x:v>RHS</x:v>
      </x:c>
      <x:c r="K124" s="60" t="str">
        <x:v>C</x:v>
      </x:c>
      <x:c r="L124" s="60" t="str">
        <x:v>SAS</x:v>
      </x:c>
      <x:c r="M124" s="60" t="str">
        <x:v>Substituting the given values for “Which of the following is not the” gives SAS.</x:v>
      </x:c>
      <x:c r="N124" s="60" t="str">
        <x:v>GE1FH</x:v>
      </x:c>
      <x:c r="O124" s="60" t="str">
        <x:v>Mathematics</x:v>
      </x:c>
      <x:c r="P124" s="60" t="str">
        <x:v>Automated structural screening passed. Rewrite the explanation to teach the reasoning before publication.</x:v>
      </x:c>
    </x:row>
    <x:row r="125">
      <x:c r="A125" s="60" t="str">
        <x:v>QB-0247</x:v>
      </x:c>
      <x:c r="B125" s="62" t="n">
        <x:v>247</x:v>
      </x:c>
      <x:c r="C125" s="60" t="str">
        <x:v>Mathematics</x:v>
      </x:c>
      <x:c r="D125" s="60" t="str">
        <x:v>Hard</x:v>
      </x:c>
      <x:c r="E125" s="60" t="str">
        <x:v>Trigonometry</x:v>
      </x:c>
      <x:c r="F125" s="60" t="str">
        <x:v>If the distance of a tangent to a circle from its centre is 4 cm, then the length of diameter of the circle is</x:v>
      </x:c>
      <x:c r="G125" s="60" t="str">
        <x:v>2 cm</x:v>
      </x:c>
      <x:c r="H125" s="60" t="str">
        <x:v>4 cm</x:v>
      </x:c>
      <x:c r="I125" s="60" t="str">
        <x:v>8 cm</x:v>
      </x:c>
      <x:c r="J125" s="60" t="str">
        <x:v>16 cm</x:v>
      </x:c>
      <x:c r="K125" s="60" t="str">
        <x:v>C</x:v>
      </x:c>
      <x:c r="L125" s="60" t="str">
        <x:v>8 cm</x:v>
      </x:c>
      <x:c r="M125" s="60" t="str">
        <x:v>The coordinate formula for “If the distance of a tangent to” gives 8 cm.</x:v>
      </x:c>
      <x:c r="N125" s="60" t="str">
        <x:v>GE1FH</x:v>
      </x:c>
      <x:c r="O125" s="60" t="str">
        <x:v>Mathematics</x:v>
      </x:c>
      <x:c r="P125" s="60" t="str">
        <x:v>Automated structural screening passed. Rewrite the explanation to teach the reasoning before publication.</x:v>
      </x:c>
    </x:row>
    <x:row r="126">
      <x:c r="A126" s="60" t="str">
        <x:v>QB-0251</x:v>
      </x:c>
      <x:c r="B126" s="62" t="n">
        <x:v>251</x:v>
      </x:c>
      <x:c r="C126" s="60" t="str">
        <x:v>Mathematics</x:v>
      </x:c>
      <x:c r="D126" s="60" t="str">
        <x:v>Easy</x:v>
      </x:c>
      <x:c r="E126" s="60" t="str">
        <x:v>Geometry</x:v>
      </x:c>
      <x:c r="F126" s="60" t="str">
        <x:v>A 30 m rope is stretched from the top of a pole to the ground. If it makes an angle of 60° with the ground, the height of the pole is</x:v>
      </x:c>
      <x:c r="G126" s="60" t="str">
        <x:v>10√3 m</x:v>
      </x:c>
      <x:c r="H126" s="60" t="str">
        <x:v>30√3 m</x:v>
      </x:c>
      <x:c r="I126" s="60" t="str">
        <x:v>15 m</x:v>
      </x:c>
      <x:c r="J126" s="60" t="str">
        <x:v>15√3 m</x:v>
      </x:c>
      <x:c r="K126" s="60" t="str">
        <x:v>D</x:v>
      </x:c>
      <x:c r="L126" s="60" t="str">
        <x:v>15√3 m</x:v>
      </x:c>
      <x:c r="M126" s="60" t="str">
        <x:v>Substituting the given values for “A 30 m rope is stretched from” gives 15√3 m.</x:v>
      </x:c>
      <x:c r="N126" s="60" t="str">
        <x:v>H4EFG</x:v>
      </x:c>
      <x:c r="O126" s="60" t="str">
        <x:v>Mathematics</x:v>
      </x:c>
      <x:c r="P126" s="60" t="str">
        <x:v>Automated structural screening passed. Rewrite the explanation to teach the reasoning before publication.</x:v>
      </x:c>
    </x:row>
    <x:row r="127">
      <x:c r="A127" s="60" t="str">
        <x:v>QB-0253</x:v>
      </x:c>
      <x:c r="B127" s="62" t="n">
        <x:v>253</x:v>
      </x:c>
      <x:c r="C127" s="60" t="str">
        <x:v>Mathematics</x:v>
      </x:c>
      <x:c r="D127" s="60" t="str">
        <x:v>Hard</x:v>
      </x:c>
      <x:c r="E127" s="60" t="str">
        <x:v>Trigonometry</x:v>
      </x:c>
      <x:c r="F127" s="60" t="str">
        <x:v>The length of the arc of a sector of radius 21 cm and central angle 60° is</x:v>
      </x:c>
      <x:c r="G127" s="60" t="str">
        <x:v>22 cm</x:v>
      </x:c>
      <x:c r="H127" s="60" t="str">
        <x:v>44 cm</x:v>
      </x:c>
      <x:c r="I127" s="60" t="str">
        <x:v>88 cm</x:v>
      </x:c>
      <x:c r="J127" s="60" t="str">
        <x:v>11 cm</x:v>
      </x:c>
      <x:c r="K127" s="60" t="str">
        <x:v>A</x:v>
      </x:c>
      <x:c r="L127" s="60" t="str">
        <x:v>22 cm</x:v>
      </x:c>
      <x:c r="M127" s="60" t="str">
        <x:v>The relevant circle measure for “The length of the arc of a” is 22 cm.</x:v>
      </x:c>
      <x:c r="N127" s="60" t="str">
        <x:v>NL1KM</x:v>
      </x:c>
      <x:c r="O127" s="60" t="str">
        <x:v>Mathematics</x:v>
      </x:c>
      <x:c r="P127" s="60" t="str">
        <x:v>Automated structural screening passed. Rewrite the explanation to teach the reasoning before publication.</x:v>
      </x:c>
    </x:row>
    <x:row r="128">
      <x:c r="A128" s="60" t="str">
        <x:v>QB-0256</x:v>
      </x:c>
      <x:c r="B128" s="62" t="n">
        <x:v>256</x:v>
      </x:c>
      <x:c r="C128" s="60" t="str">
        <x:v>Mathematics</x:v>
      </x:c>
      <x:c r="D128" s="60" t="str">
        <x:v>Hard</x:v>
      </x:c>
      <x:c r="E128" s="60" t="str">
        <x:v>Trigonometry</x:v>
      </x:c>
      <x:c r="F128" s="60" t="str">
        <x:v>How many tangents can be drawn to a circle from a point on it?</x:v>
      </x:c>
      <x:c r="G128" s="60" t="str">
        <x:v>One</x:v>
      </x:c>
      <x:c r="H128" s="60" t="str">
        <x:v>Two</x:v>
      </x:c>
      <x:c r="I128" s="60" t="str">
        <x:v>Infinite</x:v>
      </x:c>
      <x:c r="J128" s="60" t="str">
        <x:v>Zero</x:v>
      </x:c>
      <x:c r="K128" s="60" t="str">
        <x:v>A</x:v>
      </x:c>
      <x:c r="L128" s="60" t="str">
        <x:v>One</x:v>
      </x:c>
      <x:c r="M128" s="60" t="str">
        <x:v>Favourable outcomes divided by all equally likely outcomes gives One.</x:v>
      </x:c>
      <x:c r="N128" s="60" t="str">
        <x:v>WX1YZ/1</x:v>
      </x:c>
      <x:c r="O128" s="60" t="str">
        <x:v>Mathematics</x:v>
      </x:c>
      <x:c r="P128" s="60" t="str">
        <x:v>Automated structural screening passed. Rewrite the explanation to teach the reasoning before publication.</x:v>
      </x:c>
    </x:row>
    <x:row r="129">
      <x:c r="A129" s="60" t="str">
        <x:v>QB-0257</x:v>
      </x:c>
      <x:c r="B129" s="62" t="n">
        <x:v>257</x:v>
      </x:c>
      <x:c r="C129" s="60" t="str">
        <x:v>Mathematics</x:v>
      </x:c>
      <x:c r="D129" s="60" t="str">
        <x:v>Easy</x:v>
      </x:c>
      <x:c r="E129" s="60" t="str">
        <x:v>General Mathematics</x:v>
      </x:c>
      <x:c r="F129" s="60" t="str">
        <x:v>If ∆ABC ∼ ∆DEF and ∠ A = 47 o, ∠ E = 83 o, then ∠ C is equal:</x:v>
      </x:c>
      <x:c r="G129" s="60" t="str">
        <x:v>47 o</x:v>
      </x:c>
      <x:c r="H129" s="60" t="str">
        <x:v>50 o</x:v>
      </x:c>
      <x:c r="I129" s="60" t="str">
        <x:v>83 o</x:v>
      </x:c>
      <x:c r="J129" s="60" t="str">
        <x:v>130 o</x:v>
      </x:c>
      <x:c r="K129" s="60" t="str">
        <x:v>B</x:v>
      </x:c>
      <x:c r="L129" s="60" t="str">
        <x:v>50 o</x:v>
      </x:c>
      <x:c r="M129" s="60" t="str">
        <x:v>Substituting the given values for “If ABC DEF and A 47 o” gives 50 o.</x:v>
      </x:c>
      <x:c r="N129" s="60" t="str">
        <x:v>WX1YZ/1</x:v>
      </x:c>
      <x:c r="O129" s="60" t="str">
        <x:v>Mathematics</x:v>
      </x:c>
      <x:c r="P129" s="60" t="str">
        <x:v>Automated structural screening passed. Rewrite the explanation to teach the reasoning before publication.</x:v>
      </x:c>
    </x:row>
    <x:row r="130">
      <x:c r="A130" s="60" t="str">
        <x:v>QB-0258</x:v>
      </x:c>
      <x:c r="B130" s="62" t="n">
        <x:v>258</x:v>
      </x:c>
      <x:c r="C130" s="60" t="str">
        <x:v>Mathematics</x:v>
      </x:c>
      <x:c r="D130" s="60" t="str">
        <x:v>Easy</x:v>
      </x:c>
      <x:c r="E130" s="60" t="str">
        <x:v>General Mathematics</x:v>
      </x:c>
      <x:c r="F130" s="60" t="str">
        <x:v>If the radius of a semi-circular protractor is 7cm , then its perimeter is:</x:v>
      </x:c>
      <x:c r="G130" s="60" t="str">
        <x:v>11 cm</x:v>
      </x:c>
      <x:c r="H130" s="60" t="str">
        <x:v>14 cm</x:v>
      </x:c>
      <x:c r="I130" s="60" t="str">
        <x:v>22 cm</x:v>
      </x:c>
      <x:c r="J130" s="60" t="str">
        <x:v>36 cm</x:v>
      </x:c>
      <x:c r="K130" s="60" t="str">
        <x:v>D</x:v>
      </x:c>
      <x:c r="L130" s="60" t="str">
        <x:v>36 cm</x:v>
      </x:c>
      <x:c r="M130" s="60" t="str">
        <x:v>Substituting the given values for “If the radius of a semi circular” gives 36 cm.</x:v>
      </x:c>
      <x:c r="N130" s="60" t="str">
        <x:v>WX1YZ/1</x:v>
      </x:c>
      <x:c r="O130" s="60" t="str">
        <x:v>Mathematics</x:v>
      </x:c>
      <x:c r="P130" s="60" t="str">
        <x:v>Automated structural screening passed. Rewrite the explanation to teach the reasoning before publication.</x:v>
      </x:c>
    </x:row>
    <x:row r="131">
      <x:c r="A131" s="60" t="str">
        <x:v>QB-0259</x:v>
      </x:c>
      <x:c r="B131" s="62" t="n">
        <x:v>259</x:v>
      </x:c>
      <x:c r="C131" s="60" t="str">
        <x:v>Mathematics</x:v>
      </x:c>
      <x:c r="D131" s="60" t="str">
        <x:v>Hard</x:v>
      </x:c>
      <x:c r="E131" s="60" t="str">
        <x:v>Trigonometry</x:v>
      </x:c>
      <x:c r="F131" s="60" t="str">
        <x:v>The angle of elevation of the top of a 30 m high tower at a point 30 m away from the base of the tower is:</x:v>
      </x:c>
      <x:c r="G131" s="60" t="str">
        <x:v>30 o</x:v>
      </x:c>
      <x:c r="H131" s="60" t="str">
        <x:v>45 o</x:v>
      </x:c>
      <x:c r="I131" s="60" t="str">
        <x:v>60 o</x:v>
      </x:c>
      <x:c r="J131" s="60" t="str">
        <x:v>90 o</x:v>
      </x:c>
      <x:c r="K131" s="60" t="str">
        <x:v>B</x:v>
      </x:c>
      <x:c r="L131" s="60" t="str">
        <x:v>45 o</x:v>
      </x:c>
      <x:c r="M131" s="60" t="str">
        <x:v>Substituting the given values for “The angle of elevation of the top” gives 45 o.</x:v>
      </x:c>
      <x:c r="N131" s="60" t="str">
        <x:v>WX1YZ/1</x:v>
      </x:c>
      <x:c r="O131" s="60" t="str">
        <x:v>Mathematics</x:v>
      </x:c>
      <x:c r="P131" s="60" t="str">
        <x:v>Automated structural screening passed. Rewrite the explanation to teach the reasoning before publication.</x:v>
      </x:c>
    </x:row>
    <x:row r="132">
      <x:c r="A132" s="60" t="str">
        <x:v>QB-0262</x:v>
      </x:c>
      <x:c r="B132" s="62" t="n">
        <x:v>262</x:v>
      </x:c>
      <x:c r="C132" s="60" t="str">
        <x:v>Mathematics</x:v>
      </x:c>
      <x:c r="D132" s="60" t="str">
        <x:v>Medium</x:v>
      </x:c>
      <x:c r="E132" s="60" t="str">
        <x:v>Linear Equations</x:v>
      </x:c>
      <x:c r="F132" s="60" t="str">
        <x:v>The pair of linear equations x + 2 y + 5 = 0 and − 3x − 6y + 1 = 0 has:</x:v>
      </x:c>
      <x:c r="G132" s="60" t="str">
        <x:v>a unique solution</x:v>
      </x:c>
      <x:c r="H132" s="60" t="str">
        <x:v>exactly two solutions</x:v>
      </x:c>
      <x:c r="I132" s="60" t="str">
        <x:v>infinitely many solutions</x:v>
      </x:c>
      <x:c r="J132" s="60" t="str">
        <x:v>no solution</x:v>
      </x:c>
      <x:c r="K132" s="60" t="str">
        <x:v>D</x:v>
      </x:c>
      <x:c r="L132" s="60" t="str">
        <x:v>no solution</x:v>
      </x:c>
      <x:c r="M132" s="60" t="str">
        <x:v>Substituting the given values for “The pair of linear equations x 2” gives no solution.</x:v>
      </x:c>
      <x:c r="N132" s="60" t="str">
        <x:v>WX1YZ/1</x:v>
      </x:c>
      <x:c r="O132" s="60" t="str">
        <x:v>Mathematics</x:v>
      </x:c>
      <x:c r="P132" s="60" t="str">
        <x:v>Automated structural screening passed. Rewrite the explanation to teach the reasoning before publication.</x:v>
      </x:c>
    </x:row>
    <x:row r="133">
      <x:c r="A133" s="60" t="str">
        <x:v>QB-0268</x:v>
      </x:c>
      <x:c r="B133" s="62" t="n">
        <x:v>268</x:v>
      </x:c>
      <x:c r="C133" s="60" t="str">
        <x:v>Mathematics</x:v>
      </x:c>
      <x:c r="D133" s="60" t="str">
        <x:v>Hard</x:v>
      </x:c>
      <x:c r="E133" s="60" t="str">
        <x:v>Trigonometry</x:v>
      </x:c>
      <x:c r="F133" s="60" t="str">
        <x:v>The angle of elevation of the top of a 15 m high t ower at a point 15 3 m away from the base of the tower is:</x:v>
      </x:c>
      <x:c r="G133" s="60" t="str">
        <x:v>30 o</x:v>
      </x:c>
      <x:c r="H133" s="60" t="str">
        <x:v>45 o</x:v>
      </x:c>
      <x:c r="I133" s="60" t="str">
        <x:v>60 o</x:v>
      </x:c>
      <x:c r="J133" s="60" t="str">
        <x:v>90 o</x:v>
      </x:c>
      <x:c r="K133" s="60" t="str">
        <x:v>A</x:v>
      </x:c>
      <x:c r="L133" s="60" t="str">
        <x:v>30 o</x:v>
      </x:c>
      <x:c r="M133" s="60" t="str">
        <x:v>Substituting the given values for “The angle of elevation of the top” gives 30 o.</x:v>
      </x:c>
      <x:c r="N133" s="60" t="str">
        <x:v>WX1YZ/1</x:v>
      </x:c>
      <x:c r="O133" s="60" t="str">
        <x:v>Mathematics</x:v>
      </x:c>
      <x:c r="P133" s="60" t="str">
        <x:v>Automated structural screening passed. Rewrite the explanation to teach the reasoning before publication.</x:v>
      </x:c>
    </x:row>
    <x:row r="134">
      <x:c r="A134" s="60" t="str">
        <x:v>QB-0269</x:v>
      </x:c>
      <x:c r="B134" s="62" t="n">
        <x:v>269</x:v>
      </x:c>
      <x:c r="C134" s="60" t="str">
        <x:v>Mathematics</x:v>
      </x:c>
      <x:c r="D134" s="60" t="str">
        <x:v>Hard</x:v>
      </x:c>
      <x:c r="E134" s="60" t="str">
        <x:v>Trigonometry</x:v>
      </x:c>
      <x:c r="F134" s="60" t="str">
        <x:v>A circle of radius 5.2 cm has two tangents AB and CD parallel to each other. What is the distance between the two tangents?</x:v>
      </x:c>
      <x:c r="G134" s="60" t="str">
        <x:v>5.2 cm</x:v>
      </x:c>
      <x:c r="H134" s="60" t="str">
        <x:v>10.4 cm</x:v>
      </x:c>
      <x:c r="I134" s="60" t="str">
        <x:v>20.8 cm</x:v>
      </x:c>
      <x:c r="J134" s="60" t="str">
        <x:v>can’t find</x:v>
      </x:c>
      <x:c r="K134" s="60" t="str">
        <x:v>B</x:v>
      </x:c>
      <x:c r="L134" s="60" t="str">
        <x:v>10.4 cm</x:v>
      </x:c>
      <x:c r="M134" s="60" t="str">
        <x:v>The coordinate formula for “A circle of radius 5 2 cm” gives 10.4 cm.</x:v>
      </x:c>
      <x:c r="N134" s="60" t="str">
        <x:v>WX1YZ/1</x:v>
      </x:c>
      <x:c r="O134" s="60" t="str">
        <x:v>Mathematics</x:v>
      </x:c>
      <x:c r="P134" s="60" t="str">
        <x:v>Automated structural screening passed. Rewrite the explanation to teach the reasoning before publication.</x:v>
      </x:c>
    </x:row>
    <x:row r="135">
      <x:c r="A135" s="60" t="str">
        <x:v>QB-0270</x:v>
      </x:c>
      <x:c r="B135" s="62" t="n">
        <x:v>270</x:v>
      </x:c>
      <x:c r="C135" s="60" t="str">
        <x:v>Mathematics</x:v>
      </x:c>
      <x:c r="D135" s="60" t="str">
        <x:v>Hard</x:v>
      </x:c>
      <x:c r="E135" s="60" t="str">
        <x:v>Quadratic Equations &amp; Polynomials</x:v>
      </x:c>
      <x:c r="F135" s="60" t="str">
        <x:v>The number of polynomials having zeroes − 3 and 4 is:</x:v>
      </x:c>
      <x:c r="G135" s="60" t="str">
        <x:v>1</x:v>
      </x:c>
      <x:c r="H135" s="60" t="str">
        <x:v>2</x:v>
      </x:c>
      <x:c r="I135" s="60" t="str">
        <x:v>3</x:v>
      </x:c>
      <x:c r="J135" s="60" t="str">
        <x:v>more than 3</x:v>
      </x:c>
      <x:c r="K135" s="60" t="str">
        <x:v>D</x:v>
      </x:c>
      <x:c r="L135" s="60" t="str">
        <x:v>more than 3</x:v>
      </x:c>
      <x:c r="M135" s="60" t="str">
        <x:v>Substituting the given values for “The number of polynomials having zeroes 3” gives more than 3.</x:v>
      </x:c>
      <x:c r="N135" s="60" t="str">
        <x:v>WX1YZ/1</x:v>
      </x:c>
      <x:c r="O135" s="60" t="str">
        <x:v>Mathematics</x:v>
      </x:c>
      <x:c r="P135" s="60" t="str">
        <x:v>Automated structural screening passed. Rewrite the explanation to teach the reasoning before publication.</x:v>
      </x:c>
    </x:row>
    <x:row r="136">
      <x:c r="A136" s="60" t="str">
        <x:v>QB-0271</x:v>
      </x:c>
      <x:c r="B136" s="62" t="n">
        <x:v>271</x:v>
      </x:c>
      <x:c r="C136" s="60" t="str">
        <x:v>Mathematics</x:v>
      </x:c>
      <x:c r="D136" s="60" t="str">
        <x:v>Hard</x:v>
      </x:c>
      <x:c r="E136" s="60" t="str">
        <x:v>Circle Theorems</x:v>
      </x:c>
      <x:c r="F136" s="60" t="str">
        <x:v>What is the length of arc of a circle of radius 7 cm which subtends an angle of 90 o at the centre of the circle?</x:v>
      </x:c>
      <x:c r="G136" s="60" t="str">
        <x:v>22 cm</x:v>
      </x:c>
      <x:c r="H136" s="60" t="str">
        <x:v>11 cm</x:v>
      </x:c>
      <x:c r="I136" s="60" t="str">
        <x:v>77 2 cm</x:v>
      </x:c>
      <x:c r="J136" s="60" t="str">
        <x:v>11 2 cm</x:v>
      </x:c>
      <x:c r="K136" s="60" t="str">
        <x:v>B</x:v>
      </x:c>
      <x:c r="L136" s="60" t="str">
        <x:v>11 cm</x:v>
      </x:c>
      <x:c r="M136" s="60" t="str">
        <x:v>The relevant circle measure for “What is the length of arc of” is 11 cm.</x:v>
      </x:c>
      <x:c r="N136" s="60" t="str">
        <x:v>WX1YZ/1</x:v>
      </x:c>
      <x:c r="O136" s="60" t="str">
        <x:v>Mathematics</x:v>
      </x:c>
      <x:c r="P136" s="60" t="str">
        <x:v>Automated structural screening passed. Rewrite the explanation to teach the reasoning before publication.</x:v>
      </x:c>
    </x:row>
    <x:row r="137">
      <x:c r="A137" s="60" t="str">
        <x:v>QB-0280</x:v>
      </x:c>
      <x:c r="B137" s="62" t="n">
        <x:v>280</x:v>
      </x:c>
      <x:c r="C137" s="60" t="str">
        <x:v>Mathematics</x:v>
      </x:c>
      <x:c r="D137" s="60" t="str">
        <x:v>Medium</x:v>
      </x:c>
      <x:c r="E137" s="60" t="str">
        <x:v>Mensuration</x:v>
      </x:c>
      <x:c r="F137" s="60" t="str">
        <x:v>The curved surface area of a right circular cylinder of height 14 cm is 88 cm2. The diameter of its circular base is</x:v>
      </x:c>
      <x:c r="G137" s="60" t="str">
        <x:v>2 cm</x:v>
      </x:c>
      <x:c r="H137" s="60" t="str">
        <x:v>1 cm</x:v>
      </x:c>
      <x:c r="I137" s="60" t="str">
        <x:v>4 cm</x:v>
      </x:c>
      <x:c r="J137" s="60" t="str">
        <x:v>7 cm</x:v>
      </x:c>
      <x:c r="K137" s="60" t="str">
        <x:v>A</x:v>
      </x:c>
      <x:c r="L137" s="60" t="str">
        <x:v>2 cm</x:v>
      </x:c>
      <x:c r="M137" s="60" t="str">
        <x:v>The stated mensuration formula evaluates to 2 cm.</x:v>
      </x:c>
      <x:c r="N137" s="60" t="str">
        <x:v>WX1YZ/2</x:v>
      </x:c>
      <x:c r="O137" s="60" t="str">
        <x:v>Mathematics</x:v>
      </x:c>
      <x:c r="P137" s="60" t="str">
        <x:v>Automated structural screening passed. Rewrite the explanation to teach the reasoning before publication.</x:v>
      </x:c>
    </x:row>
    <x:row r="138">
      <x:c r="A138" s="60" t="str">
        <x:v>QB-0282</x:v>
      </x:c>
      <x:c r="B138" s="62" t="n">
        <x:v>282</x:v>
      </x:c>
      <x:c r="C138" s="60" t="str">
        <x:v>Mathematics</x:v>
      </x:c>
      <x:c r="D138" s="60" t="str">
        <x:v>Easy</x:v>
      </x:c>
      <x:c r="E138" s="60" t="str">
        <x:v>Probability</x:v>
      </x:c>
      <x:c r="F138" s="60" t="str">
        <x:v>Which of the following numbers cannot be the probability of an event?</x:v>
      </x:c>
      <x:c r="G138" s="60" t="str">
        <x:v>0·5</x:v>
      </x:c>
      <x:c r="H138" s="60" t="str">
        <x:v>5%</x:v>
      </x:c>
      <x:c r="I138" s="60" t="str">
        <x:v>5·01</x:v>
      </x:c>
      <x:c r="J138" s="60" t="str">
        <x:v>145·0</x:v>
      </x:c>
      <x:c r="K138" s="60" t="str">
        <x:v>C</x:v>
      </x:c>
      <x:c r="L138" s="60" t="str">
        <x:v>5·01</x:v>
      </x:c>
      <x:c r="M138" s="60" t="str">
        <x:v>Favourable outcomes divided by all equally likely outcomes gives 5·01.</x:v>
      </x:c>
      <x:c r="N138" s="60" t="str">
        <x:v>WX1YZ/2</x:v>
      </x:c>
      <x:c r="O138" s="60" t="str">
        <x:v>Mathematics</x:v>
      </x:c>
      <x:c r="P138" s="60" t="str">
        <x:v>Automated structural screening passed. Rewrite the explanation to teach the reasoning before publication.</x:v>
      </x:c>
    </x:row>
    <x:row r="139">
      <x:c r="A139" s="60" t="str">
        <x:v>QB-0289</x:v>
      </x:c>
      <x:c r="B139" s="62" t="n">
        <x:v>289</x:v>
      </x:c>
      <x:c r="C139" s="60" t="str">
        <x:v>Mathematics</x:v>
      </x:c>
      <x:c r="D139" s="60" t="str">
        <x:v>Medium</x:v>
      </x:c>
      <x:c r="E139" s="60" t="str">
        <x:v>Mensuration</x:v>
      </x:c>
      <x:c r="F139" s="60" t="str">
        <x:v>The curved surface area of a cone of radius 7 cm is 550 cm2. Its slant height is</x:v>
      </x:c>
      <x:c r="G139" s="60" t="str">
        <x:v>24 cm</x:v>
      </x:c>
      <x:c r="H139" s="60" t="str">
        <x:v>25 cm</x:v>
      </x:c>
      <x:c r="I139" s="60" t="str">
        <x:v>14 cm</x:v>
      </x:c>
      <x:c r="J139" s="60" t="str">
        <x:v>20 cm</x:v>
      </x:c>
      <x:c r="K139" s="60" t="str">
        <x:v>B</x:v>
      </x:c>
      <x:c r="L139" s="60" t="str">
        <x:v>25 cm</x:v>
      </x:c>
      <x:c r="M139" s="60" t="str">
        <x:v>The stated mensuration formula evaluates to 25 cm.</x:v>
      </x:c>
      <x:c r="N139" s="60" t="str">
        <x:v>WX1YZ/2</x:v>
      </x:c>
      <x:c r="O139" s="60" t="str">
        <x:v>Mathematics</x:v>
      </x:c>
      <x:c r="P139" s="60" t="str">
        <x:v>Automated structural screening passed. Rewrite the explanation to teach the reasoning before publication.</x:v>
      </x:c>
    </x:row>
    <x:row r="140">
      <x:c r="A140" s="60" t="str">
        <x:v>QB-0296</x:v>
      </x:c>
      <x:c r="B140" s="62" t="n">
        <x:v>296</x:v>
      </x:c>
      <x:c r="C140" s="60" t="str">
        <x:v>Mathematics</x:v>
      </x:c>
      <x:c r="D140" s="60" t="str">
        <x:v>Hard</x:v>
      </x:c>
      <x:c r="E140" s="60" t="str">
        <x:v>Trigonometry</x:v>
      </x:c>
      <x:c r="F140" s="60" t="str">
        <x:v>What is the length of the arc of the sector of a circle with radius 14 cm and of central angle 90?</x:v>
      </x:c>
      <x:c r="G140" s="60" t="str">
        <x:v>22 cm</x:v>
      </x:c>
      <x:c r="H140" s="60" t="str">
        <x:v>44 cm</x:v>
      </x:c>
      <x:c r="I140" s="60" t="str">
        <x:v>88 cm</x:v>
      </x:c>
      <x:c r="J140" s="60" t="str">
        <x:v>11 cm</x:v>
      </x:c>
      <x:c r="K140" s="60" t="str">
        <x:v>A</x:v>
      </x:c>
      <x:c r="L140" s="60" t="str">
        <x:v>22 cm</x:v>
      </x:c>
      <x:c r="M140" s="60" t="str">
        <x:v>The relevant circle measure for “What is the length of the arc” is 22 cm.</x:v>
      </x:c>
      <x:c r="N140" s="60" t="str">
        <x:v>WX1YZ/2</x:v>
      </x:c>
      <x:c r="O140" s="60" t="str">
        <x:v>Mathematics</x:v>
      </x:c>
      <x:c r="P140" s="60" t="str">
        <x:v>Automated structural screening passed. Rewrite the explanation to teach the reasoning before publication.</x:v>
      </x:c>
    </x:row>
    <x:row r="141">
      <x:c r="A141" s="60" t="str">
        <x:v>QB-0300</x:v>
      </x:c>
      <x:c r="B141" s="62" t="n">
        <x:v>300</x:v>
      </x:c>
      <x:c r="C141" s="60" t="str">
        <x:v>Mathematics</x:v>
      </x:c>
      <x:c r="D141" s="60" t="str">
        <x:v>Medium</x:v>
      </x:c>
      <x:c r="E141" s="60" t="str">
        <x:v>Mensuration</x:v>
      </x:c>
      <x:c r="F141" s="60" t="str">
        <x:v>If the area of the base of a cone is 51 cm2 and its volume is 85 cm3, then the vertical height of the cone is given as</x:v>
      </x:c>
      <x:c r="G141" s="60" t="str">
        <x:v>65 cm</x:v>
      </x:c>
      <x:c r="H141" s="60" t="str">
        <x:v>35 cm</x:v>
      </x:c>
      <x:c r="I141" s="60" t="str">
        <x:v>25 cm</x:v>
      </x:c>
      <x:c r="J141" s="60" t="str">
        <x:v>5 cm</x:v>
      </x:c>
      <x:c r="K141" s="60" t="str">
        <x:v>D</x:v>
      </x:c>
      <x:c r="L141" s="60" t="str">
        <x:v>5 cm</x:v>
      </x:c>
      <x:c r="M141" s="60" t="str">
        <x:v>The stated mensuration formula evaluates to 5 cm.</x:v>
      </x:c>
      <x:c r="N141" s="60" t="str">
        <x:v>WX1YZ/2</x:v>
      </x:c>
      <x:c r="O141" s="60" t="str">
        <x:v>Mathematics</x:v>
      </x:c>
      <x:c r="P141" s="60" t="str">
        <x:v>Automated structural screening passed. Rewrite the explanation to teach the reasoning before publication.</x:v>
      </x:c>
    </x:row>
    <x:row r="142">
      <x:c r="A142" s="60" t="str">
        <x:v>QB-0303</x:v>
      </x:c>
      <x:c r="B142" s="62" t="n">
        <x:v>303</x:v>
      </x:c>
      <x:c r="C142" s="60" t="str">
        <x:v>Mathematics</x:v>
      </x:c>
      <x:c r="D142" s="60" t="str">
        <x:v>Hard</x:v>
      </x:c>
      <x:c r="E142" s="60" t="str">
        <x:v>Trigonometry</x:v>
      </x:c>
      <x:c r="F142" s="60" t="str">
        <x:v>If a pole 6 m high casts a shadow 2 3m long on the ground, then sun’s elevation is:</x:v>
      </x:c>
      <x:c r="G142" s="60" t="str">
        <x:v>60 o</x:v>
      </x:c>
      <x:c r="H142" s="60" t="str">
        <x:v>45 o</x:v>
      </x:c>
      <x:c r="I142" s="60" t="str">
        <x:v>30 o</x:v>
      </x:c>
      <x:c r="J142" s="60" t="str">
        <x:v>90 o</x:v>
      </x:c>
      <x:c r="K142" s="60" t="str">
        <x:v>A</x:v>
      </x:c>
      <x:c r="L142" s="60" t="str">
        <x:v>60 o</x:v>
      </x:c>
      <x:c r="M142" s="60" t="str">
        <x:v>Substituting the given values for “If a pole 6 m high casts” gives 60 o.</x:v>
      </x:c>
      <x:c r="N142" s="60" t="str">
        <x:v>WX1YZ/4</x:v>
      </x:c>
      <x:c r="O142" s="60" t="str">
        <x:v>Mathematics</x:v>
      </x:c>
      <x:c r="P142" s="60" t="str">
        <x:v>Automated structural screening passed. Rewrite the explanation to teach the reasoning before publication.</x:v>
      </x:c>
    </x:row>
    <x:row r="143">
      <x:c r="A143" s="60" t="str">
        <x:v>QB-0304</x:v>
      </x:c>
      <x:c r="B143" s="62" t="n">
        <x:v>304</x:v>
      </x:c>
      <x:c r="C143" s="60" t="str">
        <x:v>Mathematics</x:v>
      </x:c>
      <x:c r="D143" s="60" t="str">
        <x:v>Easy</x:v>
      </x:c>
      <x:c r="E143" s="60" t="str">
        <x:v>General Mathematics</x:v>
      </x:c>
      <x:c r="F143" s="60" t="str">
        <x:v>In ∆ ABC, PQ || BC. If PB = 6 cm, AP = 4 cm, AQ = 8 cm, find the length of AC.</x:v>
      </x:c>
      <x:c r="G143" s="60" t="str">
        <x:v>12 cm</x:v>
      </x:c>
      <x:c r="H143" s="60" t="str">
        <x:v>20 cm</x:v>
      </x:c>
      <x:c r="I143" s="60" t="str">
        <x:v>6 cm</x:v>
      </x:c>
      <x:c r="J143" s="60" t="str">
        <x:v>14 cm</x:v>
      </x:c>
      <x:c r="K143" s="60" t="str">
        <x:v>B</x:v>
      </x:c>
      <x:c r="L143" s="60" t="str">
        <x:v>20 cm</x:v>
      </x:c>
      <x:c r="M143" s="60" t="str">
        <x:v>Applying the arithmetic-progression relation gives 20 cm.</x:v>
      </x:c>
      <x:c r="N143" s="60" t="str">
        <x:v>WX1YZ/4</x:v>
      </x:c>
      <x:c r="O143" s="60" t="str">
        <x:v>Mathematics</x:v>
      </x:c>
      <x:c r="P143" s="60" t="str">
        <x:v>Automated structural screening passed. Rewrite the explanation to teach the reasoning before publication.</x:v>
      </x:c>
    </x:row>
    <x:row r="144">
      <x:c r="A144" s="60" t="str">
        <x:v>QB-0308</x:v>
      </x:c>
      <x:c r="B144" s="62" t="n">
        <x:v>308</x:v>
      </x:c>
      <x:c r="C144" s="60" t="str">
        <x:v>Mathematics</x:v>
      </x:c>
      <x:c r="D144" s="60" t="str">
        <x:v>Easy</x:v>
      </x:c>
      <x:c r="E144" s="60" t="str">
        <x:v>Statistics</x:v>
      </x:c>
      <x:c r="F144" s="60" t="str">
        <x:v>The empirical relation between the mode, median and mean of a distribution is:</x:v>
      </x:c>
      <x:c r="G144" s="60" t="str">
        <x:v>Mode = 3 Median – 2 Mean</x:v>
      </x:c>
      <x:c r="H144" s="60" t="str">
        <x:v>Mode = 3 Mean – 2 Median</x:v>
      </x:c>
      <x:c r="I144" s="60" t="str">
        <x:v>Mode = 2 Median – 3 Mean</x:v>
      </x:c>
      <x:c r="J144" s="60" t="str">
        <x:v>Mode = 2 Mean – 3 Median</x:v>
      </x:c>
      <x:c r="K144" s="60" t="str">
        <x:v>A</x:v>
      </x:c>
      <x:c r="L144" s="60" t="str">
        <x:v>Mode = 3 Median – 2 Mean</x:v>
      </x:c>
      <x:c r="M144" s="60" t="str">
        <x:v>Substituting the given data in the statistics formula gives Mode = 3 Median – 2 Mean.</x:v>
      </x:c>
      <x:c r="N144" s="60" t="str">
        <x:v>WX1YZ/4</x:v>
      </x:c>
      <x:c r="O144" s="60" t="str">
        <x:v>Mathematics</x:v>
      </x:c>
      <x:c r="P144" s="60" t="str">
        <x:v>Automated structural screening passed. Rewrite the explanation to teach the reasoning before publication.</x:v>
      </x:c>
    </x:row>
    <x:row r="145">
      <x:c r="A145" s="60" t="str">
        <x:v>QB-0310</x:v>
      </x:c>
      <x:c r="B145" s="62" t="n">
        <x:v>310</x:v>
      </x:c>
      <x:c r="C145" s="60" t="str">
        <x:v>Mathematics</x:v>
      </x:c>
      <x:c r="D145" s="60" t="str">
        <x:v>Medium</x:v>
      </x:c>
      <x:c r="E145" s="60" t="str">
        <x:v>Linear Equations</x:v>
      </x:c>
      <x:c r="F145" s="60" t="str">
        <x:v>The pair of linear equations 2x = 5y + 6 and 15y = 6x – 18 represents two lines which are:</x:v>
      </x:c>
      <x:c r="G145" s="60" t="str">
        <x:v>intersecting</x:v>
      </x:c>
      <x:c r="H145" s="60" t="str">
        <x:v>parallel</x:v>
      </x:c>
      <x:c r="I145" s="60" t="str">
        <x:v>coincident</x:v>
      </x:c>
      <x:c r="J145" s="60" t="str">
        <x:v>either intersecting or parallel</x:v>
      </x:c>
      <x:c r="K145" s="60" t="str">
        <x:v>C</x:v>
      </x:c>
      <x:c r="L145" s="60" t="str">
        <x:v>coincident</x:v>
      </x:c>
      <x:c r="M145" s="60" t="str">
        <x:v>Substituting the given values for “The pair of linear equations 2x 5y” gives coincident.</x:v>
      </x:c>
      <x:c r="N145" s="60" t="str">
        <x:v>WX1YZ/4</x:v>
      </x:c>
      <x:c r="O145" s="60" t="str">
        <x:v>Mathematics</x:v>
      </x:c>
      <x:c r="P145" s="60" t="str">
        <x:v>Automated structural screening passed. Rewrite the explanation to teach the reasoning before publication.</x:v>
      </x:c>
    </x:row>
    <x:row r="146">
      <x:c r="A146" s="60" t="str">
        <x:v>QB-0317</x:v>
      </x:c>
      <x:c r="B146" s="62" t="n">
        <x:v>317</x:v>
      </x:c>
      <x:c r="C146" s="60" t="str">
        <x:v>Mathematics</x:v>
      </x:c>
      <x:c r="D146" s="60" t="str">
        <x:v>Hard</x:v>
      </x:c>
      <x:c r="E146" s="60" t="str">
        <x:v>Trigonometry</x:v>
      </x:c>
      <x:c r="F146" s="60" t="str">
        <x:v>The length of tangent drawn to a circle of radius 9 cm from a point 41 cm from the centre is:</x:v>
      </x:c>
      <x:c r="G146" s="60" t="str">
        <x:v>40 cm</x:v>
      </x:c>
      <x:c r="H146" s="60" t="str">
        <x:v>9 cm</x:v>
      </x:c>
      <x:c r="I146" s="60" t="str">
        <x:v>41 cm</x:v>
      </x:c>
      <x:c r="J146" s="60" t="str">
        <x:v>50 cm</x:v>
      </x:c>
      <x:c r="K146" s="60" t="str">
        <x:v>A</x:v>
      </x:c>
      <x:c r="L146" s="60" t="str">
        <x:v>40 cm</x:v>
      </x:c>
      <x:c r="M146" s="60" t="str">
        <x:v>Favourable outcomes divided by all equally likely outcomes gives 40 cm.</x:v>
      </x:c>
      <x:c r="N146" s="60" t="str">
        <x:v>WX1YZ/4</x:v>
      </x:c>
      <x:c r="O146" s="60" t="str">
        <x:v>Mathematics</x:v>
      </x:c>
      <x:c r="P146" s="60" t="str">
        <x:v>Automated structural screening passed. Rewrite the explanation to teach the reasoning before publication.</x:v>
      </x:c>
    </x:row>
    <x:row r="147">
      <x:c r="A147" s="60" t="str">
        <x:v>QB-0319</x:v>
      </x:c>
      <x:c r="B147" s="62" t="n">
        <x:v>319</x:v>
      </x:c>
      <x:c r="C147" s="60" t="str">
        <x:v>Mathematics</x:v>
      </x:c>
      <x:c r="D147" s="60" t="str">
        <x:v>Easy</x:v>
      </x:c>
      <x:c r="E147" s="60" t="str">
        <x:v>General Mathematics</x:v>
      </x:c>
      <x:c r="F147" s="60" t="str">
        <x:v>Which of the following is true for all values of θ (0 o ≤ θ ≤ 90 o)?</x:v>
      </x:c>
      <x:c r="G147" s="60" t="str">
        <x:v>cos 2 θ – sin 2 θ =</x:v>
      </x:c>
      <x:c r="H147" s="60" t="str">
        <x:v>cosec 2 θ – sec 2 θ =</x:v>
      </x:c>
      <x:c r="I147" s="60" t="str">
        <x:v>sec 2 θ – tan 2 θ =</x:v>
      </x:c>
      <x:c r="J147" s="60" t="str">
        <x:v>cot 2 θ – tan 2 θ =</x:v>
      </x:c>
      <x:c r="K147" s="60" t="str">
        <x:v>C</x:v>
      </x:c>
      <x:c r="L147" s="60" t="str">
        <x:v>sec 2 θ – tan 2 θ =</x:v>
      </x:c>
      <x:c r="M147" s="60" t="str">
        <x:v>Substituting the given values for “Which of the following is true for” gives sec 2 θ – tan 2 θ =.</x:v>
      </x:c>
      <x:c r="N147" s="60" t="str">
        <x:v>WX1YZ/4</x:v>
      </x:c>
      <x:c r="O147" s="60" t="str">
        <x:v>Mathematics</x:v>
      </x:c>
      <x:c r="P147" s="60" t="str">
        <x:v>Automated structural screening passed. Rewrite the explanation to teach the reasoning before publication.</x:v>
      </x:c>
    </x:row>
    <x:row r="148">
      <x:c r="A148" s="60" t="str">
        <x:v>QB-0321</x:v>
      </x:c>
      <x:c r="B148" s="62" t="n">
        <x:v>321</x:v>
      </x:c>
      <x:c r="C148" s="60" t="str">
        <x:v>Mathematics</x:v>
      </x:c>
      <x:c r="D148" s="60" t="str">
        <x:v>Easy</x:v>
      </x:c>
      <x:c r="E148" s="60" t="str">
        <x:v>Statistics</x:v>
      </x:c>
      <x:c r="F148" s="60" t="str">
        <x:v>For the following distribution : Marks Below 10 20 30 40 50 60 Number of Students 3 12 27 57 75 80 The modal class is:</x:v>
      </x:c>
      <x:c r="G148" s="60" t="str">
        <x:v>10q20</x:v>
      </x:c>
      <x:c r="H148" s="60" t="str">
        <x:v>20q30</x:v>
      </x:c>
      <x:c r="I148" s="60" t="str">
        <x:v>30q40</x:v>
      </x:c>
      <x:c r="J148" s="60" t="str">
        <x:v>50q60</x:v>
      </x:c>
      <x:c r="K148" s="60" t="str">
        <x:v>C</x:v>
      </x:c>
      <x:c r="L148" s="60" t="str">
        <x:v>30q40</x:v>
      </x:c>
      <x:c r="M148" s="60" t="str">
        <x:v>Substituting the given values for “For the following distribution Marks Below 10” gives 30q40.</x:v>
      </x:c>
      <x:c r="N148" s="60" t="str">
        <x:v>WX1YZ/4</x:v>
      </x:c>
      <x:c r="O148" s="60" t="str">
        <x:v>Mathematics</x:v>
      </x:c>
      <x:c r="P148" s="60" t="str">
        <x:v>Automated structural screening passed. Rewrite the explanation to teach the reasoning before publication.</x:v>
      </x:c>
    </x:row>
    <x:row r="149">
      <x:c r="A149" s="60" t="str">
        <x:v>QB-0336</x:v>
      </x:c>
      <x:c r="B149" s="62" t="n">
        <x:v>336</x:v>
      </x:c>
      <x:c r="C149" s="60" t="str">
        <x:v>Mathematics</x:v>
      </x:c>
      <x:c r="D149" s="60" t="str">
        <x:v>Hard</x:v>
      </x:c>
      <x:c r="E149" s="60" t="str">
        <x:v>Trigonometry</x:v>
      </x:c>
      <x:c r="F149" s="60" t="str">
        <x:v>(1 − tan² 30°) / (1 + tan² 30°) is equal to</x:v>
      </x:c>
      <x:c r="G149" s="60" t="str">
        <x:v>sin 60°</x:v>
      </x:c>
      <x:c r="H149" s="60" t="str">
        <x:v>cos 60°</x:v>
      </x:c>
      <x:c r="I149" s="60" t="str">
        <x:v>tan 60°</x:v>
      </x:c>
      <x:c r="J149" s="60" t="str">
        <x:v>sin 30°</x:v>
      </x:c>
      <x:c r="K149" s="60" t="str">
        <x:v>B</x:v>
      </x:c>
      <x:c r="L149" s="60" t="str">
        <x:v>cos 60°</x:v>
      </x:c>
      <x:c r="M149" s="60" t="str">
        <x:v>Using the standard trigonometric identity gives cos 60°.</x:v>
      </x:c>
      <x:c r="N149" s="60" t="str">
        <x:v>WX1YZ/5</x:v>
      </x:c>
      <x:c r="O149" s="60" t="str">
        <x:v>Mathematics</x:v>
      </x:c>
      <x:c r="P149" s="60" t="str">
        <x:v>Automated structural screening passed. Rewrite the explanation to teach the reasoning before publication.</x:v>
      </x:c>
    </x:row>
    <x:row r="150">
      <x:c r="A150" s="60" t="str">
        <x:v>QB-0337</x:v>
      </x:c>
      <x:c r="B150" s="62" t="n">
        <x:v>337</x:v>
      </x:c>
      <x:c r="C150" s="60" t="str">
        <x:v>Mathematics</x:v>
      </x:c>
      <x:c r="D150" s="60" t="str">
        <x:v>Easy</x:v>
      </x:c>
      <x:c r="E150" s="60" t="str">
        <x:v>Statistics</x:v>
      </x:c>
      <x:c r="F150" s="60" t="str">
        <x:v>If every term of the statistical data consisting of n terms is decreased by 2, then the mean of the data</x:v>
      </x:c>
      <x:c r="G150" s="60" t="str">
        <x:v>decreases by 2</x:v>
      </x:c>
      <x:c r="H150" s="60" t="str">
        <x:v>remains unchanged</x:v>
      </x:c>
      <x:c r="I150" s="60" t="str">
        <x:v>decreases by 2n</x:v>
      </x:c>
      <x:c r="J150" s="60" t="str">
        <x:v>decreases by</x:v>
      </x:c>
      <x:c r="K150" s="60" t="str">
        <x:v>A</x:v>
      </x:c>
      <x:c r="L150" s="60" t="str">
        <x:v>decreases by 2</x:v>
      </x:c>
      <x:c r="M150" s="60" t="str">
        <x:v>Substituting the given data in the statistics formula gives decreases by 2.</x:v>
      </x:c>
      <x:c r="N150" s="60" t="str">
        <x:v>WX1YZ/5</x:v>
      </x:c>
      <x:c r="O150" s="60" t="str">
        <x:v>Mathematics</x:v>
      </x:c>
      <x:c r="P150" s="60" t="str">
        <x:v>Automated structural screening passed. Rewrite the explanation to teach the reasoning before publication.</x:v>
      </x:c>
    </x:row>
    <x:row r="151">
      <x:c r="A151" s="60" t="str">
        <x:v>QB-0345</x:v>
      </x:c>
      <x:c r="B151" s="62" t="n">
        <x:v>345</x:v>
      </x:c>
      <x:c r="C151" s="60" t="str">
        <x:v>Mathematics</x:v>
      </x:c>
      <x:c r="D151" s="60" t="str">
        <x:v>Hard</x:v>
      </x:c>
      <x:c r="E151" s="60" t="str">
        <x:v>Quadratic Equations &amp; Polynomials</x:v>
      </x:c>
      <x:c r="F151" s="60" t="str">
        <x:v>The number of polynomials having zeroes 3 and 5 is</x:v>
      </x:c>
      <x:c r="G151" s="60" t="str">
        <x:v>only one</x:v>
      </x:c>
      <x:c r="H151" s="60" t="str">
        <x:v>infinite</x:v>
      </x:c>
      <x:c r="I151" s="60" t="str">
        <x:v>exactly two</x:v>
      </x:c>
      <x:c r="J151" s="60" t="str">
        <x:v>at most two</x:v>
      </x:c>
      <x:c r="K151" s="60" t="str">
        <x:v>B</x:v>
      </x:c>
      <x:c r="L151" s="60" t="str">
        <x:v>infinite</x:v>
      </x:c>
      <x:c r="M151" s="60" t="str">
        <x:v>Substituting the given values for “The number of polynomials having zeroes 3” gives infinite.</x:v>
      </x:c>
      <x:c r="N151" s="60" t="str">
        <x:v>WX1YZ/5</x:v>
      </x:c>
      <x:c r="O151" s="60" t="str">
        <x:v>Mathematics</x:v>
      </x:c>
      <x:c r="P151" s="60" t="str">
        <x:v>Automated structural screening passed. Rewrite the explanation to teach the reasoning before publication.</x:v>
      </x:c>
    </x:row>
    <x:row r="152">
      <x:c r="A152" s="60" t="str">
        <x:v>QB-0347</x:v>
      </x:c>
      <x:c r="B152" s="62" t="n">
        <x:v>347</x:v>
      </x:c>
      <x:c r="C152" s="60" t="str">
        <x:v>Mathematics</x:v>
      </x:c>
      <x:c r="D152" s="60" t="str">
        <x:v>Easy</x:v>
      </x:c>
      <x:c r="E152" s="60" t="str">
        <x:v>General Mathematics</x:v>
      </x:c>
      <x:c r="F152" s="60" t="str">
        <x:v>Water in a river which is 3 m deep and 40 m wide is flowing at the rate of 2 km/h. How much water will fall into the sea in 2 minutes?</x:v>
      </x:c>
      <x:c r="G152" s="60" t="str">
        <x:v>800 m3</x:v>
      </x:c>
      <x:c r="H152" s="60" t="str">
        <x:v>4000 m3</x:v>
      </x:c>
      <x:c r="I152" s="60" t="str">
        <x:v>8000 m3</x:v>
      </x:c>
      <x:c r="J152" s="60" t="str">
        <x:v>2000 m3</x:v>
      </x:c>
      <x:c r="K152" s="60" t="str">
        <x:v>C</x:v>
      </x:c>
      <x:c r="L152" s="60" t="str">
        <x:v>8000 m3</x:v>
      </x:c>
      <x:c r="M152" s="60" t="str">
        <x:v>Substituting the given values for “Water in a river which is 3” gives 8000 m3.</x:v>
      </x:c>
      <x:c r="N152" s="60" t="str">
        <x:v>WX1YZ/5</x:v>
      </x:c>
      <x:c r="O152" s="60" t="str">
        <x:v>Mathematics</x:v>
      </x:c>
      <x:c r="P152" s="60" t="str">
        <x:v>Automated structural screening passed. Rewrite the explanation to teach the reasoning before publication.</x:v>
      </x:c>
    </x:row>
    <x:row r="153">
      <x:c r="A153" s="60" t="str">
        <x:v>QB-0348</x:v>
      </x:c>
      <x:c r="B153" s="62" t="n">
        <x:v>348</x:v>
      </x:c>
      <x:c r="C153" s="60" t="str">
        <x:v>Mathematics</x:v>
      </x:c>
      <x:c r="D153" s="60" t="str">
        <x:v>Easy</x:v>
      </x:c>
      <x:c r="E153" s="60" t="str">
        <x:v>Probability</x:v>
      </x:c>
      <x:c r="F153" s="60" t="str">
        <x:v>Which of the following numbers cannot be the probability of happening of an event?</x:v>
      </x:c>
      <x:c r="G153" s="60" t="str">
        <x:v>0</x:v>
      </x:c>
      <x:c r="H153" s="60" t="str">
        <x:v>01·07</x:v>
      </x:c>
      <x:c r="I153" s="60" t="str">
        <x:v>0·07</x:v>
      </x:c>
      <x:c r="J153" s="60" t="str">
        <x:v>307·0</x:v>
      </x:c>
      <x:c r="K153" s="60" t="str">
        <x:v>B</x:v>
      </x:c>
      <x:c r="L153" s="60" t="str">
        <x:v>01·07</x:v>
      </x:c>
      <x:c r="M153" s="60" t="str">
        <x:v>Favourable outcomes divided by all equally likely outcomes gives 01·07.</x:v>
      </x:c>
      <x:c r="N153" s="60" t="str">
        <x:v>WX1YZ/5</x:v>
      </x:c>
      <x:c r="O153" s="60" t="str">
        <x:v>Mathematics</x:v>
      </x:c>
      <x:c r="P153" s="60" t="str">
        <x:v>Automated structural screening passed. Rewrite the explanation to teach the reasoning before publication.</x:v>
      </x:c>
    </x:row>
    <x:row r="154">
      <x:c r="A154" s="60" t="str">
        <x:v>QB-0349</x:v>
      </x:c>
      <x:c r="B154" s="62" t="n">
        <x:v>349</x:v>
      </x:c>
      <x:c r="C154" s="60" t="str">
        <x:v>Mathematics</x:v>
      </x:c>
      <x:c r="D154" s="60" t="str">
        <x:v>Hard</x:v>
      </x:c>
      <x:c r="E154" s="60" t="str">
        <x:v>Circle Theorems</x:v>
      </x:c>
      <x:c r="F154" s="60" t="str">
        <x:v>If the endpoints of a diameter of a circle are (−5, 4) and (1, 0), then the radius of the circle is</x:v>
      </x:c>
      <x:c r="G154" s="60" t="str">
        <x:v>2√13 units</x:v>
      </x:c>
      <x:c r="H154" s="60" t="str">
        <x:v>√13 units</x:v>
      </x:c>
      <x:c r="I154" s="60" t="str">
        <x:v>4√2 units</x:v>
      </x:c>
      <x:c r="J154" s="60" t="str">
        <x:v>2√2 units</x:v>
      </x:c>
      <x:c r="K154" s="60" t="str">
        <x:v>B</x:v>
      </x:c>
      <x:c r="L154" s="60" t="str">
        <x:v>√13 units</x:v>
      </x:c>
      <x:c r="M154" s="60" t="str">
        <x:v>The relevant circle measure for “If the endpoints of a diameter of” is √13 units.</x:v>
      </x:c>
      <x:c r="N154" s="60" t="str">
        <x:v>WX1YZ/5</x:v>
      </x:c>
      <x:c r="O154" s="60" t="str">
        <x:v>Mathematics</x:v>
      </x:c>
      <x:c r="P154" s="60" t="str">
        <x:v>Automated structural screening passed. Rewrite the explanation to teach the reasoning before publication.</x:v>
      </x:c>
    </x:row>
    <x:row r="155">
      <x:c r="A155" s="60" t="str">
        <x:v>QB-0350</x:v>
      </x:c>
      <x:c r="B155" s="62" t="n">
        <x:v>350</x:v>
      </x:c>
      <x:c r="C155" s="60" t="str">
        <x:v>Mathematics</x:v>
      </x:c>
      <x:c r="D155" s="60" t="str">
        <x:v>Hard</x:v>
      </x:c>
      <x:c r="E155" s="60" t="str">
        <x:v>Quadratic Equations &amp; Polynomials</x:v>
      </x:c>
      <x:c r="F155" s="60" t="str">
        <x:v>The number of polynomials having zeroes 1 and 2 is</x:v>
      </x:c>
      <x:c r="G155" s="60" t="str">
        <x:v>exactly 2</x:v>
      </x:c>
      <x:c r="H155" s="60" t="str">
        <x:v>only</x:v>
      </x:c>
      <x:c r="I155" s="60" t="str">
        <x:v>at most 2</x:v>
      </x:c>
      <x:c r="J155" s="60" t="str">
        <x:v>infinite</x:v>
      </x:c>
      <x:c r="K155" s="60" t="str">
        <x:v>D</x:v>
      </x:c>
      <x:c r="L155" s="60" t="str">
        <x:v>infinite</x:v>
      </x:c>
      <x:c r="M155" s="60" t="str">
        <x:v>Substituting the given values for “The number of polynomials having zeroes 1” gives infinite.</x:v>
      </x:c>
      <x:c r="N155" s="60" t="str">
        <x:v>WX1YZ/5</x:v>
      </x:c>
      <x:c r="O155" s="60" t="str">
        <x:v>Mathematics</x:v>
      </x:c>
      <x:c r="P155" s="60" t="str">
        <x:v>Automated structural screening passed. Rewrite the explanation to teach the reasoning before publication.</x:v>
      </x:c>
    </x:row>
    <x:row r="156">
      <x:c r="A156" s="60" t="str">
        <x:v>QB-0360</x:v>
      </x:c>
      <x:c r="B156" s="62" t="n">
        <x:v>360</x:v>
      </x:c>
      <x:c r="C156" s="60" t="str">
        <x:v>Mathematics</x:v>
      </x:c>
      <x:c r="D156" s="60" t="str">
        <x:v>Medium</x:v>
      </x:c>
      <x:c r="E156" s="60" t="str">
        <x:v>Linear Equations</x:v>
      </x:c>
      <x:c r="F156" s="60" t="str">
        <x:v>The pair of linear equations 5x + 4y = 20 and 10x + 8y = 16 has</x:v>
      </x:c>
      <x:c r="G156" s="60" t="str">
        <x:v>no solution</x:v>
      </x:c>
      <x:c r="H156" s="60" t="str">
        <x:v>infinite number of solutions</x:v>
      </x:c>
      <x:c r="I156" s="60" t="str">
        <x:v>a unique solution</x:v>
      </x:c>
      <x:c r="J156" s="60" t="str">
        <x:v>two solutions</x:v>
      </x:c>
      <x:c r="K156" s="60" t="str">
        <x:v>B</x:v>
      </x:c>
      <x:c r="L156" s="60" t="str">
        <x:v>infinite number of solutions</x:v>
      </x:c>
      <x:c r="M156" s="60" t="str">
        <x:v>Substituting the given values for “The pair of linear equations 5x 4y” gives infinite number of solutions.</x:v>
      </x:c>
      <x:c r="N156" s="60" t="str">
        <x:v>WX1YZ/C</x:v>
      </x:c>
      <x:c r="O156" s="60" t="str">
        <x:v>Mathematics</x:v>
      </x:c>
      <x:c r="P156" s="60" t="str">
        <x:v>Automated structural screening passed. Rewrite the explanation to teach the reasoning before publication.</x:v>
      </x:c>
    </x:row>
    <x:row r="157">
      <x:c r="A157" s="60" t="str">
        <x:v>QB-0361</x:v>
      </x:c>
      <x:c r="B157" s="62" t="n">
        <x:v>361</x:v>
      </x:c>
      <x:c r="C157" s="60" t="str">
        <x:v>Mathematics</x:v>
      </x:c>
      <x:c r="D157" s="60" t="str">
        <x:v>Medium</x:v>
      </x:c>
      <x:c r="E157" s="60" t="str">
        <x:v>Mensuration</x:v>
      </x:c>
      <x:c r="F157" s="60" t="str">
        <x:v>Total surface area (internal and external) of a hemispherical bowl having radii r1 and r2 (r2 &gt; r1) is</x:v>
      </x:c>
      <x:c r="G157" s="60" t="str">
        <x:v>)rr(22221</x:v>
      </x:c>
      <x:c r="H157" s="60" t="str">
        <x:v>)rr(2221</x:v>
      </x:c>
      <x:c r="I157" s="60" t="str">
        <x:v>2122rr3</x:v>
      </x:c>
      <x:c r="J157" s="60" t="str">
        <x:v>2221rr3</x:v>
      </x:c>
      <x:c r="K157" s="60" t="str">
        <x:v>B</x:v>
      </x:c>
      <x:c r="L157" s="60" t="str">
        <x:v>)rr(2221</x:v>
      </x:c>
      <x:c r="M157" s="60" t="str">
        <x:v>The stated mensuration formula evaluates to )rr(2221.</x:v>
      </x:c>
      <x:c r="N157" s="60" t="str">
        <x:v>WX1YZ/C</x:v>
      </x:c>
      <x:c r="O157" s="60" t="str">
        <x:v>Mathematics</x:v>
      </x:c>
      <x:c r="P157" s="60" t="str">
        <x:v>Automated structural screening passed. Rewrite the explanation to teach the reasoning before publication.</x:v>
      </x:c>
    </x:row>
    <x:row r="158">
      <x:c r="A158" s="60" t="str">
        <x:v>QB-0370</x:v>
      </x:c>
      <x:c r="B158" s="62" t="n">
        <x:v>370</x:v>
      </x:c>
      <x:c r="C158" s="60" t="str">
        <x:v>Mathematics</x:v>
      </x:c>
      <x:c r="D158" s="60" t="str">
        <x:v>Easy</x:v>
      </x:c>
      <x:c r="E158" s="60" t="str">
        <x:v>General Mathematics</x:v>
      </x:c>
      <x:c r="F158" s="60" t="str">
        <x:v>If a bicycle wheel makes 5000 revolutions in moving 11 km, then the diameter of the wheel is</x:v>
      </x:c>
      <x:c r="G158" s="60" t="str">
        <x:v>65 cm</x:v>
      </x:c>
      <x:c r="H158" s="60" t="str">
        <x:v>35 cm</x:v>
      </x:c>
      <x:c r="I158" s="60" t="str">
        <x:v>70 cm</x:v>
      </x:c>
      <x:c r="J158" s="60" t="str">
        <x:v>50 cm</x:v>
      </x:c>
      <x:c r="K158" s="60" t="str">
        <x:v>B</x:v>
      </x:c>
      <x:c r="L158" s="60" t="str">
        <x:v>35 cm</x:v>
      </x:c>
      <x:c r="M158" s="60" t="str">
        <x:v>Substituting the given values for “If a bicycle wheel makes 5000 revolutions” gives 35 cm.</x:v>
      </x:c>
      <x:c r="N158" s="60" t="str">
        <x:v>WX1YZ/C</x:v>
      </x:c>
      <x:c r="O158" s="60" t="str">
        <x:v>Mathematics</x:v>
      </x:c>
      <x:c r="P158" s="60" t="str">
        <x:v>Automated structural screening passed. Rewrite the explanation to teach the reasoning before publication.</x:v>
      </x:c>
    </x:row>
    <x:row r="159">
      <x:c r="A159" s="60" t="str">
        <x:v>QB-0373</x:v>
      </x:c>
      <x:c r="B159" s="62" t="n">
        <x:v>373</x:v>
      </x:c>
      <x:c r="C159" s="60" t="str">
        <x:v>Mathematics</x:v>
      </x:c>
      <x:c r="D159" s="60" t="str">
        <x:v>Medium</x:v>
      </x:c>
      <x:c r="E159" s="60" t="str">
        <x:v>Linear Equations</x:v>
      </x:c>
      <x:c r="F159" s="60" t="str">
        <x:v>The condition for which the pair of equations ax + 2y = 7 and 3x + by = 16 represent parallel lines is</x:v>
      </x:c>
      <x:c r="G159" s="60" t="str">
        <x:v>ab = 167</x:v>
      </x:c>
      <x:c r="H159" s="60" t="str">
        <x:v>ab = 6</x:v>
      </x:c>
      <x:c r="I159" s="60" t="str">
        <x:v>ab = 3</x:v>
      </x:c>
      <x:c r="J159" s="60" t="str">
        <x:v>ab = 2</x:v>
      </x:c>
      <x:c r="K159" s="60" t="str">
        <x:v>B</x:v>
      </x:c>
      <x:c r="L159" s="60" t="str">
        <x:v>ab = 6</x:v>
      </x:c>
      <x:c r="M159" s="60" t="str">
        <x:v>Substituting the given values for “The condition for which the pair of” gives ab = 6.</x:v>
      </x:c>
      <x:c r="N159" s="60" t="str">
        <x:v>WX1YZ/C</x:v>
      </x:c>
      <x:c r="O159" s="60" t="str">
        <x:v>Mathematics</x:v>
      </x:c>
      <x:c r="P159" s="60" t="str">
        <x:v>Automated structural screening passed. Rewrite the explanation to teach the reasoning before publication.</x:v>
      </x:c>
    </x:row>
    <x:row r="160">
      <x:c r="A160" s="60" t="str">
        <x:v>QB-0384</x:v>
      </x:c>
      <x:c r="B160" s="62" t="n">
        <x:v>384</x:v>
      </x:c>
      <x:c r="C160" s="60" t="str">
        <x:v>Science</x:v>
      </x:c>
      <x:c r="D160" s="60" t="str">
        <x:v>Hard</x:v>
      </x:c>
      <x:c r="E160" s="60" t="str">
        <x:v>Light &amp; Optics</x:v>
      </x:c>
      <x:c r="F160" s="60" t="str">
        <x:v>An old pe rson is suffering from an eye defect caused by weakening of ciliary muscles and diminishing flexibility of the eye lens. If the defect of vision is ‘a’ which can be corrected by lens ‘b’, then ‘a’ and ‘b’ respectively are</x:v>
      </x:c>
      <x:c r="G160" s="60" t="str">
        <x:v>hypermetropia and convex lens</x:v>
      </x:c>
      <x:c r="H160" s="60" t="str">
        <x:v>presbyopia and bifocal lens</x:v>
      </x:c>
      <x:c r="I160" s="60" t="str">
        <x:v>myopia and concave lens</x:v>
      </x:c>
      <x:c r="J160" s="60" t="str">
        <x:v>myopia and bifocal lens</x:v>
      </x:c>
      <x:c r="K160" s="60" t="str">
        <x:v>B</x:v>
      </x:c>
      <x:c r="L160" s="60" t="str">
        <x:v>presbyopia and bifocal lens</x:v>
      </x:c>
      <x:c r="M160" s="60" t="str">
        <x:v>The applicable optics principle identifies presbyopia and bifocal lens.</x:v>
      </x:c>
      <x:c r="N160" s="60" t="str">
        <x:v>1GEFH</x:v>
      </x:c>
      <x:c r="O160" s="60" t="str">
        <x:v>Science</x:v>
      </x:c>
      <x:c r="P160" s="60" t="str">
        <x:v>Automated structural screening passed. Rewrite the explanation to teach the reasoning before publication.</x:v>
      </x:c>
    </x:row>
    <x:row r="161">
      <x:c r="A161" s="60" t="str">
        <x:v>QB-0385</x:v>
      </x:c>
      <x:c r="B161" s="62" t="n">
        <x:v>385</x:v>
      </x:c>
      <x:c r="C161" s="60" t="str">
        <x:v>Science</x:v>
      </x:c>
      <x:c r="D161" s="60" t="str">
        <x:v>Medium</x:v>
      </x:c>
      <x:c r="E161" s="60" t="str">
        <x:v>Chemistry</x:v>
      </x:c>
      <x:c r="F161" s="60" t="str">
        <x:v>Consider the following reactions : (i) Dilute hydrochloric acid reacts with sodium hydroxide. (ii) Magnesium oxide reacts with dilute hydrochloric acid. (iii) Carbon dioxide reacts with sodium hydroxide. It is found that in each case</x:v>
      </x:c>
      <x:c r="G161" s="60" t="str">
        <x:v>Salt and water is formed.</x:v>
      </x:c>
      <x:c r="H161" s="60" t="str">
        <x:v>Neutral salts are formed.</x:v>
      </x:c>
      <x:c r="I161" s="60" t="str">
        <x:v>Hydrogen gas is formed.</x:v>
      </x:c>
      <x:c r="J161" s="60" t="str">
        <x:v>Acidic salts are formed.</x:v>
      </x:c>
      <x:c r="K161" s="60" t="str">
        <x:v>A</x:v>
      </x:c>
      <x:c r="L161" s="60" t="str">
        <x:v>Salt and water is formed.</x:v>
      </x:c>
      <x:c r="M161" s="60" t="str">
        <x:v>The chemical property or reaction shown identifies Salt and water is formed..</x:v>
      </x:c>
      <x:c r="N161" s="60" t="str">
        <x:v>1GEFH</x:v>
      </x:c>
      <x:c r="O161" s="60" t="str">
        <x:v>Science</x:v>
      </x:c>
      <x:c r="P161" s="60" t="str">
        <x:v>Automated structural screening passed. Rewrite the explanation to teach the reasoning before publication.</x:v>
      </x:c>
    </x:row>
    <x:row r="162">
      <x:c r="A162" s="60" t="str">
        <x:v>QB-0386</x:v>
      </x:c>
      <x:c r="B162" s="62" t="n">
        <x:v>386</x:v>
      </x:c>
      <x:c r="C162" s="60" t="str">
        <x:v>Science</x:v>
      </x:c>
      <x:c r="D162" s="60" t="str">
        <x:v>Medium</x:v>
      </x:c>
      <x:c r="E162" s="60" t="str">
        <x:v>Life Processes</x:v>
      </x:c>
      <x:c r="F162" s="60" t="str">
        <x:v>If pea plants with round and green seeds (RRyy) are crossed with pea plants having wrinkled and yellow seeds (rrYY), the seeds developed by the plants of F1 generation will be</x:v>
      </x:c>
      <x:c r="G162" s="60" t="str">
        <x:v>50% round and green</x:v>
      </x:c>
      <x:c r="H162" s="60" t="str">
        <x:v>75% wrinkled and green</x:v>
      </x:c>
      <x:c r="I162" s="60" t="str">
        <x:v>100% round and yellow</x:v>
      </x:c>
      <x:c r="J162" s="60" t="str">
        <x:v>75% wrinkled and yellow</x:v>
      </x:c>
      <x:c r="K162" s="60" t="str">
        <x:v>A</x:v>
      </x:c>
      <x:c r="L162" s="60" t="str">
        <x:v>50% round and green</x:v>
      </x:c>
      <x:c r="M162" s="60" t="str">
        <x:v>The described biological process supports 50% round and green.</x:v>
      </x:c>
      <x:c r="N162" s="60" t="str">
        <x:v>1GEFH</x:v>
      </x:c>
      <x:c r="O162" s="60" t="str">
        <x:v>Science</x:v>
      </x:c>
      <x:c r="P162" s="60" t="str">
        <x:v>Automated structural screening passed. Rewrite the explanation to teach the reasoning before publication.</x:v>
      </x:c>
    </x:row>
    <x:row r="163">
      <x:c r="A163" s="60" t="str">
        <x:v>QB-0387</x:v>
      </x:c>
      <x:c r="B163" s="62" t="n">
        <x:v>387</x:v>
      </x:c>
      <x:c r="C163" s="60" t="str">
        <x:v>Science</x:v>
      </x:c>
      <x:c r="D163" s="60" t="str">
        <x:v>Hard</x:v>
      </x:c>
      <x:c r="E163" s="60" t="str">
        <x:v>Light &amp; Optics</x:v>
      </x:c>
      <x:c r="F163" s="60" t="str">
        <x:v>Mirror ‘X’ is used to concentrate sunlight in solar furnace and Mirror ‘Y’ is fitted on the side of the vehicle to see the traffic behind the driver. Which of the following statements are true for the two mirrors ? (i) The image formed by mirror ‘X’ is real, diminished and at its focus. (ii) The image formed by mirror ‘Y’ is virtual, diminished and erect. (iii) The image formed by mirror ‘X’ is virtual, diminished and erect. (iv) The image formed by mirror ‘Y’ is real, diminished and at its focus.</x:v>
      </x:c>
      <x:c r="G163" s="60" t="str">
        <x:v>(i) and (ii)</x:v>
      </x:c>
      <x:c r="H163" s="60" t="str">
        <x:v>(ii) and (iii)</x:v>
      </x:c>
      <x:c r="I163" s="60" t="str">
        <x:v>(iii) and (iv)</x:v>
      </x:c>
      <x:c r="J163" s="60" t="str">
        <x:v>(i) and (iv)</x:v>
      </x:c>
      <x:c r="K163" s="60" t="str">
        <x:v>A</x:v>
      </x:c>
      <x:c r="L163" s="60" t="str">
        <x:v>(i) and (ii)</x:v>
      </x:c>
      <x:c r="M163" s="60" t="str">
        <x:v>The applicable optics principle identifies (i) and (ii).</x:v>
      </x:c>
      <x:c r="N163" s="60" t="str">
        <x:v>1GEFH</x:v>
      </x:c>
      <x:c r="O163" s="60" t="str">
        <x:v>Science</x:v>
      </x:c>
      <x:c r="P163" s="60" t="str">
        <x:v>Automated structural screening passed. Rewrite the explanation to teach the reasoning before publication.</x:v>
      </x:c>
    </x:row>
    <x:row r="164">
      <x:c r="A164" s="60" t="str">
        <x:v>QB-0388</x:v>
      </x:c>
      <x:c r="B164" s="62" t="n">
        <x:v>388</x:v>
      </x:c>
      <x:c r="C164" s="60" t="str">
        <x:v>Science</x:v>
      </x:c>
      <x:c r="D164" s="60" t="str">
        <x:v>Easy</x:v>
      </x:c>
      <x:c r="E164" s="60" t="str">
        <x:v>General Science</x:v>
      </x:c>
      <x:c r="F164" s="60" t="str">
        <x:v>Secretion of less saliva in mouth will effect the conversion of</x:v>
      </x:c>
      <x:c r="G164" s="60" t="str">
        <x:v>proteins into amino acids</x:v>
      </x:c>
      <x:c r="H164" s="60" t="str">
        <x:v>fats into fatty acids and glycerol</x:v>
      </x:c>
      <x:c r="I164" s="60" t="str">
        <x:v>starch into simple sugars</x:v>
      </x:c>
      <x:c r="J164" s="60" t="str">
        <x:v>sugars into alcohol</x:v>
      </x:c>
      <x:c r="K164" s="60" t="str">
        <x:v>A</x:v>
      </x:c>
      <x:c r="L164" s="60" t="str">
        <x:v>proteins into amino acids</x:v>
      </x:c>
      <x:c r="M164" s="60" t="str">
        <x:v>The scientific principle described in “Secretion of less saliva in mouth will” supports proteins into amino acids.</x:v>
      </x:c>
      <x:c r="N164" s="60" t="str">
        <x:v>1GEFH</x:v>
      </x:c>
      <x:c r="O164" s="60" t="str">
        <x:v>Science</x:v>
      </x:c>
      <x:c r="P164" s="60" t="str">
        <x:v>Automated structural screening passed. Rewrite the explanation to teach the reasoning before publication.</x:v>
      </x:c>
    </x:row>
    <x:row r="165">
      <x:c r="A165" s="60" t="str">
        <x:v>QB-0389</x:v>
      </x:c>
      <x:c r="B165" s="62" t="n">
        <x:v>389</x:v>
      </x:c>
      <x:c r="C165" s="60" t="str">
        <x:v>Science</x:v>
      </x:c>
      <x:c r="D165" s="60" t="str">
        <x:v>Medium</x:v>
      </x:c>
      <x:c r="E165" s="60" t="str">
        <x:v>General Science</x:v>
      </x:c>
      <x:c r="F165" s="60" t="str">
        <x:v>The correct/true statement(s) for a bisexual flower is/are : (i) They possess both stamen and pistil. (ii) They possess either stamen or pistil. (iii) They exhibit either self-pollination or cross-pollination. (iv) They cannot produce fruits on their own.</x:v>
      </x:c>
      <x:c r="G165" s="60" t="str">
        <x:v>(i) only</x:v>
      </x:c>
      <x:c r="H165" s="60" t="str">
        <x:v>(iv) only</x:v>
      </x:c>
      <x:c r="I165" s="60" t="str">
        <x:v>(i) and (iii)</x:v>
      </x:c>
      <x:c r="J165" s="60" t="str">
        <x:v>(i) and (iv)</x:v>
      </x:c>
      <x:c r="K165" s="60" t="str">
        <x:v>C</x:v>
      </x:c>
      <x:c r="L165" s="60" t="str">
        <x:v>(i) and (iii)</x:v>
      </x:c>
      <x:c r="M165" s="60" t="str">
        <x:v>The scientific principle described in “The correct true statement s for a” supports (i) and (iii).</x:v>
      </x:c>
      <x:c r="N165" s="60" t="str">
        <x:v>1GEFH</x:v>
      </x:c>
      <x:c r="O165" s="60" t="str">
        <x:v>Science</x:v>
      </x:c>
      <x:c r="P165" s="60" t="str">
        <x:v>Automated structural screening passed. Rewrite the explanation to teach the reasoning before publication.</x:v>
      </x:c>
    </x:row>
    <x:row r="166">
      <x:c r="A166" s="60" t="str">
        <x:v>QB-0390</x:v>
      </x:c>
      <x:c r="B166" s="62" t="n">
        <x:v>390</x:v>
      </x:c>
      <x:c r="C166" s="60" t="str">
        <x:v>Science</x:v>
      </x:c>
      <x:c r="D166" s="60" t="str">
        <x:v>Medium</x:v>
      </x:c>
      <x:c r="E166" s="60" t="str">
        <x:v>Chemistry</x:v>
      </x:c>
      <x:c r="F166" s="60" t="str">
        <x:v>The following table shows the pH values of four solutions A, B, C and D on a pH scale : 1 2 3 4 5 6 7 8 9 10 11 12 13 14 The solutions A, B, C and D respectively are of a</x:v>
      </x:c>
      <x:c r="G166" s="60" t="str">
        <x:v>Strong acid, weak acid, neutral, strong base</x:v>
      </x:c>
      <x:c r="H166" s="60" t="str">
        <x:v>Weak acid, neutral, weak base, strong base</x:v>
      </x:c>
      <x:c r="I166" s="60" t="str">
        <x:v>Weak acid, neutral, strong base, weak base</x:v>
      </x:c>
      <x:c r="J166" s="60" t="str">
        <x:v>Weak acid, neutral, strong base, strong acid</x:v>
      </x:c>
      <x:c r="K166" s="60" t="str">
        <x:v>D</x:v>
      </x:c>
      <x:c r="L166" s="60" t="str">
        <x:v>Weak acid, neutral, strong base, strong acid</x:v>
      </x:c>
      <x:c r="M166" s="60" t="str">
        <x:v>The chemical property or reaction shown identifies Weak acid, neutral, strong base, strong acid.</x:v>
      </x:c>
      <x:c r="N166" s="60" t="str">
        <x:v>1GEFH</x:v>
      </x:c>
      <x:c r="O166" s="60" t="str">
        <x:v>Science</x:v>
      </x:c>
      <x:c r="P166" s="60" t="str">
        <x:v>Automated structural screening passed. Rewrite the explanation to teach the reasoning before publication.</x:v>
      </x:c>
    </x:row>
    <x:row r="167">
      <x:c r="A167" s="60" t="str">
        <x:v>QB-0391</x:v>
      </x:c>
      <x:c r="B167" s="62" t="n">
        <x:v>391</x:v>
      </x:c>
      <x:c r="C167" s="60" t="str">
        <x:v>Science</x:v>
      </x:c>
      <x:c r="D167" s="60" t="str">
        <x:v>Medium</x:v>
      </x:c>
      <x:c r="E167" s="60" t="str">
        <x:v>Chemistry</x:v>
      </x:c>
      <x:c r="F167" s="60" t="str">
        <x:v>The metals obtained from their molten chlorides by the process of electrolytic reduction are</x:v>
      </x:c>
      <x:c r="G167" s="60" t="str">
        <x:v>Gold and silver</x:v>
      </x:c>
      <x:c r="H167" s="60" t="str">
        <x:v>Calcium and magnesium</x:v>
      </x:c>
      <x:c r="I167" s="60" t="str">
        <x:v>Aluminium and silver</x:v>
      </x:c>
      <x:c r="J167" s="60" t="str">
        <x:v>Sodium and iron</x:v>
      </x:c>
      <x:c r="K167" s="60" t="str">
        <x:v>A</x:v>
      </x:c>
      <x:c r="L167" s="60" t="str">
        <x:v>Gold and silver</x:v>
      </x:c>
      <x:c r="M167" s="60" t="str">
        <x:v>The chemical property or reaction shown identifies Gold and silver.</x:v>
      </x:c>
      <x:c r="N167" s="60" t="str">
        <x:v>1GEFH</x:v>
      </x:c>
      <x:c r="O167" s="60" t="str">
        <x:v>Science</x:v>
      </x:c>
      <x:c r="P167" s="60" t="str">
        <x:v>Automated structural screening passed. Rewrite the explanation to teach the reasoning before publication.</x:v>
      </x:c>
    </x:row>
    <x:row r="168">
      <x:c r="A168" s="60" t="str">
        <x:v>QB-0392</x:v>
      </x:c>
      <x:c r="B168" s="62" t="n">
        <x:v>392</x:v>
      </x:c>
      <x:c r="C168" s="60" t="str">
        <x:v>Science</x:v>
      </x:c>
      <x:c r="D168" s="60" t="str">
        <x:v>Medium</x:v>
      </x:c>
      <x:c r="E168" s="60" t="str">
        <x:v>Life Processes</x:v>
      </x:c>
      <x:c r="F168" s="60" t="str">
        <x:v>The percentage of solar energy which is not converted into food energy by the leaves of green plants in a terrestrial ecosystem is about</x:v>
      </x:c>
      <x:c r="G168" s="60" t="str">
        <x:v>1%</x:v>
      </x:c>
      <x:c r="H168" s="60" t="str">
        <x:v>10%</x:v>
      </x:c>
      <x:c r="I168" s="60" t="str">
        <x:v>90%</x:v>
      </x:c>
      <x:c r="J168" s="60" t="str">
        <x:v>99%</x:v>
      </x:c>
      <x:c r="K168" s="60" t="str">
        <x:v>D</x:v>
      </x:c>
      <x:c r="L168" s="60" t="str">
        <x:v>99%</x:v>
      </x:c>
      <x:c r="M168" s="60" t="str">
        <x:v>Energy flow and nutrient cycling make 99% correct.</x:v>
      </x:c>
      <x:c r="N168" s="60" t="str">
        <x:v>1GEFH</x:v>
      </x:c>
      <x:c r="O168" s="60" t="str">
        <x:v>Science</x:v>
      </x:c>
      <x:c r="P168" s="60" t="str">
        <x:v>Automated structural screening passed. Rewrite the explanation to teach the reasoning before publication.</x:v>
      </x:c>
    </x:row>
    <x:row r="169">
      <x:c r="A169" s="60" t="str">
        <x:v>QB-0393</x:v>
      </x:c>
      <x:c r="B169" s="62" t="n">
        <x:v>393</x:v>
      </x:c>
      <x:c r="C169" s="60" t="str">
        <x:v>Science</x:v>
      </x:c>
      <x:c r="D169" s="60" t="str">
        <x:v>Medium</x:v>
      </x:c>
      <x:c r="E169" s="60" t="str">
        <x:v>Life Processes</x:v>
      </x:c>
      <x:c r="F169" s="60" t="str">
        <x:v>The plant hormone whose concentration stimulates the cells to grow longer on the side of the shoot which is away from light is</x:v>
      </x:c>
      <x:c r="G169" s="60" t="str">
        <x:v>Cytokinins</x:v>
      </x:c>
      <x:c r="H169" s="60" t="str">
        <x:v>Gibberellins</x:v>
      </x:c>
      <x:c r="I169" s="60" t="str">
        <x:v>Adrenaline</x:v>
      </x:c>
      <x:c r="J169" s="60" t="str">
        <x:v>Auxins</x:v>
      </x:c>
      <x:c r="K169" s="60" t="str">
        <x:v>D</x:v>
      </x:c>
      <x:c r="L169" s="60" t="str">
        <x:v>Auxins</x:v>
      </x:c>
      <x:c r="M169" s="60" t="str">
        <x:v>The applicable optics principle identifies Auxins.</x:v>
      </x:c>
      <x:c r="N169" s="60" t="str">
        <x:v>1GEFH</x:v>
      </x:c>
      <x:c r="O169" s="60" t="str">
        <x:v>Science</x:v>
      </x:c>
      <x:c r="P169" s="60" t="str">
        <x:v>Automated structural screening passed. Rewrite the explanation to teach the reasoning before publication.</x:v>
      </x:c>
    </x:row>
    <x:row r="170">
      <x:c r="A170" s="60" t="str">
        <x:v>QB-0394</x:v>
      </x:c>
      <x:c r="B170" s="62" t="n">
        <x:v>394</x:v>
      </x:c>
      <x:c r="C170" s="60" t="str">
        <x:v>Science</x:v>
      </x:c>
      <x:c r="D170" s="60" t="str">
        <x:v>Easy</x:v>
      </x:c>
      <x:c r="E170" s="60" t="str">
        <x:v>General Science</x:v>
      </x:c>
      <x:c r="F170" s="60" t="str">
        <x:v>The products formed when Aluminium and Magnesium are burnt in the presence of air respectively are</x:v>
      </x:c>
      <x:c r="G170" s="60" t="str">
        <x:v>Al3O4 and MgO2</x:v>
      </x:c>
      <x:c r="H170" s="60" t="str">
        <x:v>Al2O3 and MgO</x:v>
      </x:c>
      <x:c r="I170" s="60" t="str">
        <x:v>Al3O4 and MgO</x:v>
      </x:c>
      <x:c r="J170" s="60" t="str">
        <x:v>Al2O3 and MgO2</x:v>
      </x:c>
      <x:c r="K170" s="60" t="str">
        <x:v>B</x:v>
      </x:c>
      <x:c r="L170" s="60" t="str">
        <x:v>Al2O3 and MgO</x:v>
      </x:c>
      <x:c r="M170" s="60" t="str">
        <x:v>The scientific principle described in “The products formed when Aluminium and Magnesium” supports Al2O3 and MgO.</x:v>
      </x:c>
      <x:c r="N170" s="60" t="str">
        <x:v>1GEFH</x:v>
      </x:c>
      <x:c r="O170" s="60" t="str">
        <x:v>Science</x:v>
      </x:c>
      <x:c r="P170" s="60" t="str">
        <x:v>Automated structural screening passed. Rewrite the explanation to teach the reasoning before publication.</x:v>
      </x:c>
    </x:row>
    <x:row r="171">
      <x:c r="A171" s="60" t="str">
        <x:v>QB-0395</x:v>
      </x:c>
      <x:c r="B171" s="62" t="n">
        <x:v>395</x:v>
      </x:c>
      <x:c r="C171" s="60" t="str">
        <x:v>Science</x:v>
      </x:c>
      <x:c r="D171" s="60" t="str">
        <x:v>Medium</x:v>
      </x:c>
      <x:c r="E171" s="60" t="str">
        <x:v>Environment</x:v>
      </x:c>
      <x:c r="F171" s="60" t="str">
        <x:v>Which of the following groups do not constitute a food chain ? (i) Wolf, rabbit, grass, lion (ii) Plankton, man, grasshopper, fish (iii) Hawk, grass, snake, grasshopper, frog (iv) Grass, snake, wolf, tiger</x:v>
      </x:c>
      <x:c r="G171" s="60" t="str">
        <x:v>(i) and (iv)</x:v>
      </x:c>
      <x:c r="H171" s="60" t="str">
        <x:v>(i) and (iii)</x:v>
      </x:c>
      <x:c r="I171" s="60" t="str">
        <x:v>(ii) and (iii)</x:v>
      </x:c>
      <x:c r="J171" s="60" t="str">
        <x:v>(ii) and (iv)</x:v>
      </x:c>
      <x:c r="K171" s="60" t="str">
        <x:v>A</x:v>
      </x:c>
      <x:c r="L171" s="60" t="str">
        <x:v>(i) and (iv)</x:v>
      </x:c>
      <x:c r="M171" s="60" t="str">
        <x:v>Energy flow and nutrient cycling make (i) and (iv) correct.</x:v>
      </x:c>
      <x:c r="N171" s="60" t="str">
        <x:v>1GEFH</x:v>
      </x:c>
      <x:c r="O171" s="60" t="str">
        <x:v>Science</x:v>
      </x:c>
      <x:c r="P171" s="60" t="str">
        <x:v>Automated structural screening passed. Rewrite the explanation to teach the reasoning before publication.</x:v>
      </x:c>
    </x:row>
    <x:row r="172">
      <x:c r="A172" s="60" t="str">
        <x:v>QB-0396</x:v>
      </x:c>
      <x:c r="B172" s="62" t="n">
        <x:v>396</x:v>
      </x:c>
      <x:c r="C172" s="60" t="str">
        <x:v>Science</x:v>
      </x:c>
      <x:c r="D172" s="60" t="str">
        <x:v>Medium</x:v>
      </x:c>
      <x:c r="E172" s="60" t="str">
        <x:v>Chemistry</x:v>
      </x:c>
      <x:c r="F172" s="60" t="str">
        <x:v>In one formula unit of salt ‘X’, seven molecules of water of crystallisation are present. The salt ‘X’ is</x:v>
      </x:c>
      <x:c r="G172" s="60" t="str">
        <x:v>CuSO4</x:v>
      </x:c>
      <x:c r="H172" s="60" t="str">
        <x:v>Na2CO3</x:v>
      </x:c>
      <x:c r="I172" s="60" t="str">
        <x:v>FeSO4</x:v>
      </x:c>
      <x:c r="J172" s="60" t="str">
        <x:v>CaSO4</x:v>
      </x:c>
      <x:c r="K172" s="60" t="str">
        <x:v>A</x:v>
      </x:c>
      <x:c r="L172" s="60" t="str">
        <x:v>CuSO4</x:v>
      </x:c>
      <x:c r="M172" s="60" t="str">
        <x:v>The scientific principle described in “In one formula unit of salt X” supports CuSO4.</x:v>
      </x:c>
      <x:c r="N172" s="60" t="str">
        <x:v>1GEFH</x:v>
      </x:c>
      <x:c r="O172" s="60" t="str">
        <x:v>Science</x:v>
      </x:c>
      <x:c r="P172" s="60" t="str">
        <x:v>Automated structural screening passed. Rewrite the explanation to teach the reasoning before publication.</x:v>
      </x:c>
    </x:row>
    <x:row r="173">
      <x:c r="A173" s="60" t="str">
        <x:v>QB-0397</x:v>
      </x:c>
      <x:c r="B173" s="62" t="n">
        <x:v>397</x:v>
      </x:c>
      <x:c r="C173" s="60" t="str">
        <x:v>Science</x:v>
      </x:c>
      <x:c r="D173" s="60" t="str">
        <x:v>Medium</x:v>
      </x:c>
      <x:c r="E173" s="60" t="str">
        <x:v>Chemistry</x:v>
      </x:c>
      <x:c r="F173" s="60" t="str">
        <x:v>Reaction between two elements A and B, forms a compound C. A loses electrons and B gains electrons. Which one of the following properties will not be shown by compound C?</x:v>
      </x:c>
      <x:c r="G173" s="60" t="str">
        <x:v>It has high melting point.</x:v>
      </x:c>
      <x:c r="H173" s="60" t="str">
        <x:v>It is highly soluble in water.</x:v>
      </x:c>
      <x:c r="I173" s="60" t="str">
        <x:v>It has weak electrostatic forces of attraction between its oppositely charged ions.</x:v>
      </x:c>
      <x:c r="J173" s="60" t="str">
        <x:v>It conducts electricity in its molten state or aqueous solution.</x:v>
      </x:c>
      <x:c r="K173" s="60" t="str">
        <x:v>A</x:v>
      </x:c>
      <x:c r="L173" s="60" t="str">
        <x:v>It has high melting point.</x:v>
      </x:c>
      <x:c r="M173" s="60" t="str">
        <x:v>The chemical property or reaction shown identifies It has high melting point..</x:v>
      </x:c>
      <x:c r="N173" s="60" t="str">
        <x:v>1GEFH</x:v>
      </x:c>
      <x:c r="O173" s="60" t="str">
        <x:v>Science</x:v>
      </x:c>
      <x:c r="P173" s="60" t="str">
        <x:v>Automated structural screening passed. Rewrite the explanation to teach the reasoning before publication.</x:v>
      </x:c>
    </x:row>
    <x:row r="174">
      <x:c r="A174" s="60" t="str">
        <x:v>QB-0398</x:v>
      </x:c>
      <x:c r="B174" s="62" t="n">
        <x:v>398</x:v>
      </x:c>
      <x:c r="C174" s="60" t="str">
        <x:v>Science</x:v>
      </x:c>
      <x:c r="D174" s="60" t="str">
        <x:v>Medium</x:v>
      </x:c>
      <x:c r="E174" s="60" t="str">
        <x:v>Chemistry</x:v>
      </x:c>
      <x:c r="F174" s="60" t="str">
        <x:v>The phenomenon responsible for making the smoke particles visible when a beam of sunlight enters a smoke filled room through a narrow hole is</x:v>
      </x:c>
      <x:c r="G174" s="60" t="str">
        <x:v>scattering of light</x:v>
      </x:c>
      <x:c r="H174" s="60" t="str">
        <x:v>dispersion of light</x:v>
      </x:c>
      <x:c r="I174" s="60" t="str">
        <x:v>reflection of light</x:v>
      </x:c>
      <x:c r="J174" s="60" t="str">
        <x:v>internal reflection of light</x:v>
      </x:c>
      <x:c r="K174" s="60" t="str">
        <x:v>A</x:v>
      </x:c>
      <x:c r="L174" s="60" t="str">
        <x:v>scattering of light</x:v>
      </x:c>
      <x:c r="M174" s="60" t="str">
        <x:v>The applicable optics principle identifies scattering of light.</x:v>
      </x:c>
      <x:c r="N174" s="60" t="str">
        <x:v>1GEFH</x:v>
      </x:c>
      <x:c r="O174" s="60" t="str">
        <x:v>Science</x:v>
      </x:c>
      <x:c r="P174" s="60" t="str">
        <x:v>Automated structural screening passed. Rewrite the explanation to teach the reasoning before publication.</x:v>
      </x:c>
    </x:row>
    <x:row r="175">
      <x:c r="A175" s="60" t="str">
        <x:v>QB-0399</x:v>
      </x:c>
      <x:c r="B175" s="62" t="n">
        <x:v>399</x:v>
      </x:c>
      <x:c r="C175" s="60" t="str">
        <x:v>Science</x:v>
      </x:c>
      <x:c r="D175" s="60" t="str">
        <x:v>Medium</x:v>
      </x:c>
      <x:c r="E175" s="60" t="str">
        <x:v>Chemistry</x:v>
      </x:c>
      <x:c r="F175" s="60" t="str">
        <x:v>Tooth enamel is made up of calcium hydroxyapatite (a crystalline form of calcium phosphate). This chemical starts corroding in the mouth when the pH is</x:v>
      </x:c>
      <x:c r="G175" s="60" t="str">
        <x:v>7</x:v>
      </x:c>
      <x:c r="H175" s="60" t="str">
        <x:v>5</x:v>
      </x:c>
      <x:c r="I175" s="60" t="str">
        <x:v>10</x:v>
      </x:c>
      <x:c r="J175" s="60" t="str">
        <x:v>14</x:v>
      </x:c>
      <x:c r="K175" s="60" t="str">
        <x:v>B</x:v>
      </x:c>
      <x:c r="L175" s="60" t="str">
        <x:v>5</x:v>
      </x:c>
      <x:c r="M175" s="60" t="str">
        <x:v>The chemical property or reaction shown identifies 5.</x:v>
      </x:c>
      <x:c r="N175" s="60" t="str">
        <x:v>1GEFH</x:v>
      </x:c>
      <x:c r="O175" s="60" t="str">
        <x:v>Science</x:v>
      </x:c>
      <x:c r="P175" s="60" t="str">
        <x:v>Automated structural screening passed. Rewrite the explanation to teach the reasoning before publication.</x:v>
      </x:c>
    </x:row>
    <x:row r="176">
      <x:c r="A176" s="60" t="str">
        <x:v>QB-0400</x:v>
      </x:c>
      <x:c r="B176" s="62" t="n">
        <x:v>400</x:v>
      </x:c>
      <x:c r="C176" s="60" t="str">
        <x:v>Science</x:v>
      </x:c>
      <x:c r="D176" s="60" t="str">
        <x:v>Hard</x:v>
      </x:c>
      <x:c r="E176" s="60" t="str">
        <x:v>Electricity &amp; Magnetism</x:v>
      </x:c>
      <x:c r="F176" s="60" t="str">
        <x:v>A wire of length ‘l’ is gradually stretched so that its length increases to 3l. If its original resistance is R, then its new resistance will be</x:v>
      </x:c>
      <x:c r="G176" s="60" t="str">
        <x:v>3R</x:v>
      </x:c>
      <x:c r="H176" s="60" t="str">
        <x:v>6R</x:v>
      </x:c>
      <x:c r="I176" s="60" t="str">
        <x:v>9R</x:v>
      </x:c>
      <x:c r="J176" s="60" t="str">
        <x:v>27R</x:v>
      </x:c>
      <x:c r="K176" s="60" t="str">
        <x:v>C</x:v>
      </x:c>
      <x:c r="L176" s="60" t="str">
        <x:v>9R</x:v>
      </x:c>
      <x:c r="M176" s="60" t="str">
        <x:v>The stated electricity or magnetism rule gives 9R.</x:v>
      </x:c>
      <x:c r="N176" s="60" t="str">
        <x:v>3EGFH</x:v>
      </x:c>
      <x:c r="O176" s="60" t="str">
        <x:v>Science</x:v>
      </x:c>
      <x:c r="P176" s="60" t="str">
        <x:v>Automated structural screening passed. Rewrite the explanation to teach the reasoning before publication.</x:v>
      </x:c>
    </x:row>
    <x:row r="177">
      <x:c r="A177" s="60" t="str">
        <x:v>QB-0401</x:v>
      </x:c>
      <x:c r="B177" s="62" t="n">
        <x:v>401</x:v>
      </x:c>
      <x:c r="C177" s="60" t="str">
        <x:v>Science</x:v>
      </x:c>
      <x:c r="D177" s="60" t="str">
        <x:v>Medium</x:v>
      </x:c>
      <x:c r="E177" s="60" t="str">
        <x:v>Life Processes</x:v>
      </x:c>
      <x:c r="F177" s="60" t="str">
        <x:v>Match Column-I with Column -II and select the correct option from the choices provided. Column-I Column-II a. Site of fertilisation of egg with the sperm (i) Vagina b. Site of implantation of embryo (ii) Uterus c. Site of entry of sperm into the female reproductive tract (iii) Oviduct d. Site through which the waste materials generated by the developing embryo are removed (iv) Placenta (v) Cervix</x:v>
      </x:c>
      <x:c r="G177" s="60" t="str">
        <x:v>a-(ii), b-(i), c-(v), d-(iv)</x:v>
      </x:c>
      <x:c r="H177" s="60" t="str">
        <x:v>a-(iii), b-(i), c-(v), d-(iv)</x:v>
      </x:c>
      <x:c r="I177" s="60" t="str">
        <x:v>a-(iv), b-(ii), c-(iii), d-(i)</x:v>
      </x:c>
      <x:c r="J177" s="60" t="str">
        <x:v>a-(iii), b-(ii), c-(i), d-(iv)</x:v>
      </x:c>
      <x:c r="K177" s="60" t="str">
        <x:v>D</x:v>
      </x:c>
      <x:c r="L177" s="60" t="str">
        <x:v>a-(iii), b-(ii), c-(i), d-(iv)</x:v>
      </x:c>
      <x:c r="M177" s="60" t="str">
        <x:v>The described biological process supports a-(iii), b-(ii), c-(i), d-(iv).</x:v>
      </x:c>
      <x:c r="N177" s="60" t="str">
        <x:v>3EGFH</x:v>
      </x:c>
      <x:c r="O177" s="60" t="str">
        <x:v>Science</x:v>
      </x:c>
      <x:c r="P177" s="60" t="str">
        <x:v>Automated structural screening passed. Rewrite the explanation to teach the reasoning before publication.</x:v>
      </x:c>
    </x:row>
    <x:row r="178">
      <x:c r="A178" s="60" t="str">
        <x:v>QB-0402</x:v>
      </x:c>
      <x:c r="B178" s="62" t="n">
        <x:v>402</x:v>
      </x:c>
      <x:c r="C178" s="60" t="str">
        <x:v>Science</x:v>
      </x:c>
      <x:c r="D178" s="60" t="str">
        <x:v>Medium</x:v>
      </x:c>
      <x:c r="E178" s="60" t="str">
        <x:v>Life Processes</x:v>
      </x:c>
      <x:c r="F178" s="60" t="str">
        <x:v>Other than the abiotic components, which of the given biotic compone nts are not required to make an aquarium with small herbivorous fishes a self-sustaining system ? (i) Aquatic plants and aquatic animals (ii) Terrestrial plants and terrestrial animals (iii) Decomposers as bacteria and fungi (iv) Consumers as clown fishes and sea urchins</x:v>
      </x:c>
      <x:c r="G178" s="60" t="str">
        <x:v>(i) and (iv)</x:v>
      </x:c>
      <x:c r="H178" s="60" t="str">
        <x:v>(ii) and (iii)</x:v>
      </x:c>
      <x:c r="I178" s="60" t="str">
        <x:v>(i) and (iii)</x:v>
      </x:c>
      <x:c r="J178" s="60" t="str">
        <x:v>(ii) and (iv)</x:v>
      </x:c>
      <x:c r="K178" s="60" t="str">
        <x:v>D</x:v>
      </x:c>
      <x:c r="L178" s="60" t="str">
        <x:v>(ii) and (iv)</x:v>
      </x:c>
      <x:c r="M178" s="60" t="str">
        <x:v>Energy flow and nutrient cycling make (ii) and (iv) correct.</x:v>
      </x:c>
      <x:c r="N178" s="60" t="str">
        <x:v>3EGFH</x:v>
      </x:c>
      <x:c r="O178" s="60" t="str">
        <x:v>Science</x:v>
      </x:c>
      <x:c r="P178" s="60" t="str">
        <x:v>Automated structural screening passed. Rewrite the explanation to teach the reasoning before publication.</x:v>
      </x:c>
    </x:row>
    <x:row r="179">
      <x:c r="A179" s="60" t="str">
        <x:v>QB-0403</x:v>
      </x:c>
      <x:c r="B179" s="62" t="n">
        <x:v>403</x:v>
      </x:c>
      <x:c r="C179" s="60" t="str">
        <x:v>Science</x:v>
      </x:c>
      <x:c r="D179" s="60" t="str">
        <x:v>Easy</x:v>
      </x:c>
      <x:c r="E179" s="60" t="str">
        <x:v>General Science</x:v>
      </x:c>
      <x:c r="F179" s="60" t="str">
        <x:v>Select a pair of bisexual flowers from the following</x:v>
      </x:c>
      <x:c r="G179" s="60" t="str">
        <x:v>Papaya and mustard</x:v>
      </x:c>
      <x:c r="H179" s="60" t="str">
        <x:v>Hibiscus and mustard</x:v>
      </x:c>
      <x:c r="I179" s="60" t="str">
        <x:v>Hibiscus and papaya</x:v>
      </x:c>
      <x:c r="J179" s="60" t="str">
        <x:v>Hibiscus and watermelon</x:v>
      </x:c>
      <x:c r="K179" s="60" t="str">
        <x:v>B</x:v>
      </x:c>
      <x:c r="L179" s="60" t="str">
        <x:v>Hibiscus and mustard</x:v>
      </x:c>
      <x:c r="M179" s="60" t="str">
        <x:v>The scientific principle described in “Select a pair of bisexual flowers from” supports Hibiscus and mustard.</x:v>
      </x:c>
      <x:c r="N179" s="60" t="str">
        <x:v>3EGFH</x:v>
      </x:c>
      <x:c r="O179" s="60" t="str">
        <x:v>Science</x:v>
      </x:c>
      <x:c r="P179" s="60" t="str">
        <x:v>Automated structural screening passed. Rewrite the explanation to teach the reasoning before publication.</x:v>
      </x:c>
    </x:row>
    <x:row r="180">
      <x:c r="A180" s="60" t="str">
        <x:v>QB-0404</x:v>
      </x:c>
      <x:c r="B180" s="62" t="n">
        <x:v>404</x:v>
      </x:c>
      <x:c r="C180" s="60" t="str">
        <x:v>Science</x:v>
      </x:c>
      <x:c r="D180" s="60" t="str">
        <x:v>Medium</x:v>
      </x:c>
      <x:c r="E180" s="60" t="str">
        <x:v>Chemistry</x:v>
      </x:c>
      <x:c r="F180" s="60" t="str">
        <x:v>The most common method of extraction of metals from their oxide ores is</x:v>
      </x:c>
      <x:c r="G180" s="60" t="str">
        <x:v>Reduction with carbon</x:v>
      </x:c>
      <x:c r="H180" s="60" t="str">
        <x:v>Reduction with hydrogen</x:v>
      </x:c>
      <x:c r="I180" s="60" t="str">
        <x:v>Reduction with aluminium</x:v>
      </x:c>
      <x:c r="J180" s="60" t="str">
        <x:v>Electrolytic reduction</x:v>
      </x:c>
      <x:c r="K180" s="60" t="str">
        <x:v>A</x:v>
      </x:c>
      <x:c r="L180" s="60" t="str">
        <x:v>Reduction with carbon</x:v>
      </x:c>
      <x:c r="M180" s="60" t="str">
        <x:v>The chemical property or reaction shown identifies Reduction with carbon.</x:v>
      </x:c>
      <x:c r="N180" s="60" t="str">
        <x:v>3EGFH</x:v>
      </x:c>
      <x:c r="O180" s="60" t="str">
        <x:v>Science</x:v>
      </x:c>
      <x:c r="P180" s="60" t="str">
        <x:v>Automated structural screening passed. Rewrite the explanation to teach the reasoning before publication.</x:v>
      </x:c>
    </x:row>
    <x:row r="181">
      <x:c r="A181" s="60" t="str">
        <x:v>QB-0405</x:v>
      </x:c>
      <x:c r="B181" s="62" t="n">
        <x:v>405</x:v>
      </x:c>
      <x:c r="C181" s="60" t="str">
        <x:v>Science</x:v>
      </x:c>
      <x:c r="D181" s="60" t="str">
        <x:v>Easy</x:v>
      </x:c>
      <x:c r="E181" s="60" t="str">
        <x:v>General Science</x:v>
      </x:c>
      <x:c r="F181" s="60" t="str">
        <x:v>The part of the brain which maintains the posture and balance of the body is</x:v>
      </x:c>
      <x:c r="G181" s="60" t="str">
        <x:v>Pons</x:v>
      </x:c>
      <x:c r="H181" s="60" t="str">
        <x:v>Cerebrum</x:v>
      </x:c>
      <x:c r="I181" s="60" t="str">
        <x:v>Cerebellum</x:v>
      </x:c>
      <x:c r="J181" s="60" t="str">
        <x:v>Medulla</x:v>
      </x:c>
      <x:c r="K181" s="60" t="str">
        <x:v>C</x:v>
      </x:c>
      <x:c r="L181" s="60" t="str">
        <x:v>Cerebellum</x:v>
      </x:c>
      <x:c r="M181" s="60" t="str">
        <x:v>The scientific principle described in “The part of the brain which maintains” supports Cerebellum.</x:v>
      </x:c>
      <x:c r="N181" s="60" t="str">
        <x:v>3EGFH</x:v>
      </x:c>
      <x:c r="O181" s="60" t="str">
        <x:v>Science</x:v>
      </x:c>
      <x:c r="P181" s="60" t="str">
        <x:v>Automated structural screening passed. Rewrite the explanation to teach the reasoning before publication.</x:v>
      </x:c>
    </x:row>
    <x:row r="182">
      <x:c r="A182" s="60" t="str">
        <x:v>QB-0406</x:v>
      </x:c>
      <x:c r="B182" s="62" t="n">
        <x:v>406</x:v>
      </x:c>
      <x:c r="C182" s="60" t="str">
        <x:v>Science</x:v>
      </x:c>
      <x:c r="D182" s="60" t="str">
        <x:v>Medium</x:v>
      </x:c>
      <x:c r="E182" s="60" t="str">
        <x:v>Life Processes</x:v>
      </x:c>
      <x:c r="F182" s="60" t="str">
        <x:v>The plant hormone present in greater concentration in the areas of rapidly dividing cells is</x:v>
      </x:c>
      <x:c r="G182" s="60" t="str">
        <x:v>Auxin</x:v>
      </x:c>
      <x:c r="H182" s="60" t="str">
        <x:v>Cytokinins</x:v>
      </x:c>
      <x:c r="I182" s="60" t="str">
        <x:v>Gibberellins</x:v>
      </x:c>
      <x:c r="J182" s="60" t="str">
        <x:v>Abscisic acid</x:v>
      </x:c>
      <x:c r="K182" s="60" t="str">
        <x:v>B</x:v>
      </x:c>
      <x:c r="L182" s="60" t="str">
        <x:v>Cytokinins</x:v>
      </x:c>
      <x:c r="M182" s="60" t="str">
        <x:v>The described biological process supports Cytokinins.</x:v>
      </x:c>
      <x:c r="N182" s="60" t="str">
        <x:v>3EGFH</x:v>
      </x:c>
      <x:c r="O182" s="60" t="str">
        <x:v>Science</x:v>
      </x:c>
      <x:c r="P182" s="60" t="str">
        <x:v>Automated structural screening passed. Rewrite the explanation to teach the reasoning before publication.</x:v>
      </x:c>
    </x:row>
    <x:row r="183">
      <x:c r="A183" s="60" t="str">
        <x:v>QB-0408</x:v>
      </x:c>
      <x:c r="B183" s="62" t="n">
        <x:v>408</x:v>
      </x:c>
      <x:c r="C183" s="60" t="str">
        <x:v>Science</x:v>
      </x:c>
      <x:c r="D183" s="60" t="str">
        <x:v>Hard</x:v>
      </x:c>
      <x:c r="E183" s="60" t="str">
        <x:v>Light &amp; Optics</x:v>
      </x:c>
      <x:c r="F183" s="60" t="str">
        <x:v>When a beam of white light passes through a region of very fine dust particles, the colour of light that scatters the most in that region is</x:v>
      </x:c>
      <x:c r="G183" s="60" t="str">
        <x:v>red</x:v>
      </x:c>
      <x:c r="H183" s="60" t="str">
        <x:v>orange</x:v>
      </x:c>
      <x:c r="I183" s="60" t="str">
        <x:v>blue</x:v>
      </x:c>
      <x:c r="J183" s="60" t="str">
        <x:v>yellow</x:v>
      </x:c>
      <x:c r="K183" s="60" t="str">
        <x:v>C</x:v>
      </x:c>
      <x:c r="L183" s="60" t="str">
        <x:v>blue</x:v>
      </x:c>
      <x:c r="M183" s="60" t="str">
        <x:v>The applicable optics principle identifies blue.</x:v>
      </x:c>
      <x:c r="N183" s="60" t="str">
        <x:v>3EGFH</x:v>
      </x:c>
      <x:c r="O183" s="60" t="str">
        <x:v>Science</x:v>
      </x:c>
      <x:c r="P183" s="60" t="str">
        <x:v>Automated structural screening passed. Rewrite the explanation to teach the reasoning before publication.</x:v>
      </x:c>
    </x:row>
    <x:row r="184">
      <x:c r="A184" s="60" t="str">
        <x:v>QB-0409</x:v>
      </x:c>
      <x:c r="B184" s="62" t="n">
        <x:v>409</x:v>
      </x:c>
      <x:c r="C184" s="60" t="str">
        <x:v>Science</x:v>
      </x:c>
      <x:c r="D184" s="60" t="str">
        <x:v>Medium</x:v>
      </x:c>
      <x:c r="E184" s="60" t="str">
        <x:v>Chemistry</x:v>
      </x:c>
      <x:c r="F184" s="60" t="str">
        <x:v>Which of the given option represents a family of salts?</x:v>
      </x:c>
      <x:c r="G184" s="60" t="str">
        <x:v>NaCl, Na2SO4, CaSO4</x:v>
      </x:c>
      <x:c r="H184" s="60" t="str">
        <x:v>K2SO4, Na2SO4, CaSO4</x:v>
      </x:c>
      <x:c r="I184" s="60" t="str">
        <x:v>NaNO3, CaCO3, Na2CO3</x:v>
      </x:c>
      <x:c r="J184" s="60" t="str">
        <x:v>MgSO4, CuSO4, MgCl2</x:v>
      </x:c>
      <x:c r="K184" s="60" t="str">
        <x:v>B</x:v>
      </x:c>
      <x:c r="L184" s="60" t="str">
        <x:v>K2SO4, Na2SO4, CaSO4</x:v>
      </x:c>
      <x:c r="M184" s="60" t="str">
        <x:v>The scientific principle described in “Which of the given option represents a” supports K2SO4, Na2SO4, CaSO4.</x:v>
      </x:c>
      <x:c r="N184" s="60" t="str">
        <x:v>3EGFH</x:v>
      </x:c>
      <x:c r="O184" s="60" t="str">
        <x:v>Science</x:v>
      </x:c>
      <x:c r="P184" s="60" t="str">
        <x:v>Automated structural screening passed. Rewrite the explanation to teach the reasoning before publication.</x:v>
      </x:c>
    </x:row>
    <x:row r="185">
      <x:c r="A185" s="60" t="str">
        <x:v>QB-0410</x:v>
      </x:c>
      <x:c r="B185" s="62" t="n">
        <x:v>410</x:v>
      </x:c>
      <x:c r="C185" s="60" t="str">
        <x:v>Science</x:v>
      </x:c>
      <x:c r="D185" s="60" t="str">
        <x:v>Medium</x:v>
      </x:c>
      <x:c r="E185" s="60" t="str">
        <x:v>General Science</x:v>
      </x:c>
      <x:c r="F185" s="60" t="str">
        <x:v>Study the following cases : (i) CuSO4 + Mg ⎯→⎯ (ii) FeSO4 + Pb ⎯→⎯ (iii) CaSO4 + Al ⎯→⎯ (iv) ZnSO4 + Ca ⎯→⎯ The case/cases in which new product(s) will form is/are</x:v>
      </x:c>
      <x:c r="G185" s="60" t="str">
        <x:v>Only (i)</x:v>
      </x:c>
      <x:c r="H185" s="60" t="str">
        <x:v>Only (iii)</x:v>
      </x:c>
      <x:c r="I185" s="60" t="str">
        <x:v>(i) and (iv)</x:v>
      </x:c>
      <x:c r="J185" s="60" t="str">
        <x:v>(i)</x:v>
      </x:c>
      <x:c r="K185" s="60" t="str">
        <x:v>C</x:v>
      </x:c>
      <x:c r="L185" s="60" t="str">
        <x:v>(i) and (iv)</x:v>
      </x:c>
      <x:c r="M185" s="60" t="str">
        <x:v>The scientific principle described in “Study the following cases i CuSO4 Mg” supports (i) and (iv).</x:v>
      </x:c>
      <x:c r="N185" s="60" t="str">
        <x:v>3EGFH</x:v>
      </x:c>
      <x:c r="O185" s="60" t="str">
        <x:v>Science</x:v>
      </x:c>
      <x:c r="P185" s="60" t="str">
        <x:v>Automated structural screening passed. Rewrite the explanation to teach the reasoning before publication.</x:v>
      </x:c>
    </x:row>
    <x:row r="186">
      <x:c r="A186" s="60" t="str">
        <x:v>QB-0411</x:v>
      </x:c>
      <x:c r="B186" s="62" t="n">
        <x:v>411</x:v>
      </x:c>
      <x:c r="C186" s="60" t="str">
        <x:v>Science</x:v>
      </x:c>
      <x:c r="D186" s="60" t="str">
        <x:v>Easy</x:v>
      </x:c>
      <x:c r="E186" s="60" t="str">
        <x:v>General Science</x:v>
      </x:c>
      <x:c r="F186" s="60" t="str">
        <x:v>The part of the hind -brain controlling involuntary actions such as salivation and vomiting in humans is</x:v>
      </x:c>
      <x:c r="G186" s="60" t="str">
        <x:v>Cerebellum</x:v>
      </x:c>
      <x:c r="H186" s="60" t="str">
        <x:v>Cerebrum</x:v>
      </x:c>
      <x:c r="I186" s="60" t="str">
        <x:v>Pons</x:v>
      </x:c>
      <x:c r="J186" s="60" t="str">
        <x:v>Medulla</x:v>
      </x:c>
      <x:c r="K186" s="60" t="str">
        <x:v>D</x:v>
      </x:c>
      <x:c r="L186" s="60" t="str">
        <x:v>Medulla</x:v>
      </x:c>
      <x:c r="M186" s="60" t="str">
        <x:v>The scientific principle described in “The part of the hind brain controlling” supports Medulla.</x:v>
      </x:c>
      <x:c r="N186" s="60" t="str">
        <x:v>3EGFH</x:v>
      </x:c>
      <x:c r="O186" s="60" t="str">
        <x:v>Science</x:v>
      </x:c>
      <x:c r="P186" s="60" t="str">
        <x:v>Automated structural screening passed. Rewrite the explanation to teach the reasoning before publication.</x:v>
      </x:c>
    </x:row>
    <x:row r="187">
      <x:c r="A187" s="60" t="str">
        <x:v>QB-0413</x:v>
      </x:c>
      <x:c r="B187" s="62" t="n">
        <x:v>413</x:v>
      </x:c>
      <x:c r="C187" s="60" t="str">
        <x:v>Science</x:v>
      </x:c>
      <x:c r="D187" s="60" t="str">
        <x:v>Hard</x:v>
      </x:c>
      <x:c r="E187" s="60" t="str">
        <x:v>Electricity &amp; Magnetism</x:v>
      </x:c>
      <x:c r="F187" s="60" t="str">
        <x:v>In domestic electric circuits, the colour of insulation covers of wires in the cables of electric iron/electric toaster is generally</x:v>
      </x:c>
      <x:c r="G187" s="60" t="str">
        <x:v>red for live wire, green for neutral wire and black for earth wire</x:v>
      </x:c>
      <x:c r="H187" s="60" t="str">
        <x:v>red for live wire, black for neutral wire and green for earth wire</x:v>
      </x:c>
      <x:c r="I187" s="60" t="str">
        <x:v>green for live wire, black for neutral wire and red for earth wire</x:v>
      </x:c>
      <x:c r="J187" s="60" t="str">
        <x:v>green for live wire, red for neutral wire and black for earth wire</x:v>
      </x:c>
      <x:c r="K187" s="60" t="str">
        <x:v>B</x:v>
      </x:c>
      <x:c r="L187" s="60" t="str">
        <x:v>red for live wire, black for neutral wire and green for earth wire</x:v>
      </x:c>
      <x:c r="M187" s="60" t="str">
        <x:v>The stated electricity or magnetism rule gives red for live wire, black for neutral wire and green for earth wire.</x:v>
      </x:c>
      <x:c r="N187" s="60" t="str">
        <x:v>3EGFH</x:v>
      </x:c>
      <x:c r="O187" s="60" t="str">
        <x:v>Science</x:v>
      </x:c>
      <x:c r="P187" s="60" t="str">
        <x:v>Automated structural screening passed. Rewrite the explanation to teach the reasoning before publication.</x:v>
      </x:c>
    </x:row>
    <x:row r="188">
      <x:c r="A188" s="60" t="str">
        <x:v>QB-0414</x:v>
      </x:c>
      <x:c r="B188" s="62" t="n">
        <x:v>414</x:v>
      </x:c>
      <x:c r="C188" s="60" t="str">
        <x:v>Science</x:v>
      </x:c>
      <x:c r="D188" s="60" t="str">
        <x:v>Easy</x:v>
      </x:c>
      <x:c r="E188" s="60" t="str">
        <x:v>General Science</x:v>
      </x:c>
      <x:c r="F188" s="60" t="str">
        <x:v>Parasitic mode of nutrition is observed in</x:v>
      </x:c>
      <x:c r="G188" s="60" t="str">
        <x:v>Bryophyllum</x:v>
      </x:c>
      <x:c r="H188" s="60" t="str">
        <x:v>Hibiscus</x:v>
      </x:c>
      <x:c r="I188" s="60" t="str">
        <x:v>Cuscuta</x:v>
      </x:c>
      <x:c r="J188" s="60" t="str">
        <x:v>Helianthus</x:v>
      </x:c>
      <x:c r="K188" s="60" t="str">
        <x:v>C</x:v>
      </x:c>
      <x:c r="L188" s="60" t="str">
        <x:v>Cuscuta</x:v>
      </x:c>
      <x:c r="M188" s="60" t="str">
        <x:v>The scientific principle described in “Parasitic mode of nutrition is observed in” supports Cuscuta.</x:v>
      </x:c>
      <x:c r="N188" s="60" t="str">
        <x:v>3EGFH</x:v>
      </x:c>
      <x:c r="O188" s="60" t="str">
        <x:v>Science</x:v>
      </x:c>
      <x:c r="P188" s="60" t="str">
        <x:v>Automated structural screening passed. Rewrite the explanation to teach the reasoning before publication.</x:v>
      </x:c>
    </x:row>
    <x:row r="189">
      <x:c r="A189" s="60" t="str">
        <x:v>QB-0415</x:v>
      </x:c>
      <x:c r="B189" s="62" t="n">
        <x:v>415</x:v>
      </x:c>
      <x:c r="C189" s="60" t="str">
        <x:v>Science</x:v>
      </x:c>
      <x:c r="D189" s="60" t="str">
        <x:v>Easy</x:v>
      </x:c>
      <x:c r="E189" s="60" t="str">
        <x:v>General Science</x:v>
      </x:c>
      <x:c r="F189" s="60" t="str">
        <x:v>Select the correct statement from the following</x:v>
      </x:c>
      <x:c r="G189" s="60" t="str">
        <x:v>The size of the molecules of air is larger than the wavelength of visible light.</x:v>
      </x:c>
      <x:c r="H189" s="60" t="str">
        <x:v>The blue light has a wavelength about 1∙8 times greater than that of red light.</x:v>
      </x:c>
      <x:c r="I189" s="60" t="str">
        <x:v>When sunlight passes through the fine particles in air, they scatter the blue colour of visible light more strongly than red.</x:v>
      </x:c>
      <x:c r="J189" s="60" t="str">
        <x:v>The light of red colour is scattered the most by fog or smoke.</x:v>
      </x:c>
      <x:c r="K189" s="60" t="str">
        <x:v>C</x:v>
      </x:c>
      <x:c r="L189" s="60" t="str">
        <x:v>When sunlight passes through the fine particles in air, they scatter the blue colour of visible light more strongly than red.</x:v>
      </x:c>
      <x:c r="M189" s="60" t="str">
        <x:v>The scientific principle described in “Select the correct statement from the following” supports When sunlight passes through the fine particles in air, they scatter the blue colour of visible light more strongly than red..</x:v>
      </x:c>
      <x:c r="N189" s="60" t="str">
        <x:v>3EGFH</x:v>
      </x:c>
      <x:c r="O189" s="60" t="str">
        <x:v>Science</x:v>
      </x:c>
      <x:c r="P189" s="60" t="str">
        <x:v>Automated structural screening passed. Rewrite the explanation to teach the reasoning before publication.</x:v>
      </x:c>
    </x:row>
    <x:row r="190">
      <x:c r="A190" s="60" t="str">
        <x:v>QB-0416</x:v>
      </x:c>
      <x:c r="B190" s="62" t="n">
        <x:v>416</x:v>
      </x:c>
      <x:c r="C190" s="60" t="str">
        <x:v>Science</x:v>
      </x:c>
      <x:c r="D190" s="60" t="str">
        <x:v>Easy</x:v>
      </x:c>
      <x:c r="E190" s="60" t="str">
        <x:v>General Science</x:v>
      </x:c>
      <x:c r="F190" s="60" t="str">
        <x:v>The growth of the pollen tubes towards ovules is an example of</x:v>
      </x:c>
      <x:c r="G190" s="60" t="str">
        <x:v>Phototropism</x:v>
      </x:c>
      <x:c r="H190" s="60" t="str">
        <x:v>Hydrotropism</x:v>
      </x:c>
      <x:c r="I190" s="60" t="str">
        <x:v>Geotropism</x:v>
      </x:c>
      <x:c r="J190" s="60" t="str">
        <x:v>Chemotropism</x:v>
      </x:c>
      <x:c r="K190" s="60" t="str">
        <x:v>D</x:v>
      </x:c>
      <x:c r="L190" s="60" t="str">
        <x:v>Chemotropism</x:v>
      </x:c>
      <x:c r="M190" s="60" t="str">
        <x:v>The scientific principle described in “The growth of the pollen tubes towards” supports Chemotropism.</x:v>
      </x:c>
      <x:c r="N190" s="60" t="str">
        <x:v>3EGFH</x:v>
      </x:c>
      <x:c r="O190" s="60" t="str">
        <x:v>Science</x:v>
      </x:c>
      <x:c r="P190" s="60" t="str">
        <x:v>Automated structural screening passed. Rewrite the explanation to teach the reasoning before publication.</x:v>
      </x:c>
    </x:row>
    <x:row r="191">
      <x:c r="A191" s="60" t="str">
        <x:v>QB-0417</x:v>
      </x:c>
      <x:c r="B191" s="62" t="n">
        <x:v>417</x:v>
      </x:c>
      <x:c r="C191" s="60" t="str">
        <x:v>Science</x:v>
      </x:c>
      <x:c r="D191" s="60" t="str">
        <x:v>Medium</x:v>
      </x:c>
      <x:c r="E191" s="60" t="str">
        <x:v>Chemistry</x:v>
      </x:c>
      <x:c r="F191" s="60" t="str">
        <x:v>Solid Calcium oxide reacts vigorously with water to form Calcium hydroxide accompanied by the liberation of heat. From the information given above it may be concluded that this reaction</x:v>
      </x:c>
      <x:c r="G191" s="60" t="str">
        <x:v>is endothermic and pH of the solution formed is more than</x:v>
      </x:c>
      <x:c r="H191" s="60" t="str">
        <x:v>is exothermic and pH of the solution formed is</x:v>
      </x:c>
      <x:c r="I191" s="60" t="str">
        <x:v>is endothermic and pH of the solution formed is</x:v>
      </x:c>
      <x:c r="J191" s="60" t="str">
        <x:v>is exothermic and pH of the solution formed is more than</x:v>
      </x:c>
      <x:c r="K191" s="60" t="str">
        <x:v>B</x:v>
      </x:c>
      <x:c r="L191" s="60" t="str">
        <x:v>is exothermic and pH of the solution formed is</x:v>
      </x:c>
      <x:c r="M191" s="60" t="str">
        <x:v>The chemical property or reaction shown identifies is exothermic and pH of the solution formed is.</x:v>
      </x:c>
      <x:c r="N191" s="60" t="str">
        <x:v>A2DDC/2</x:v>
      </x:c>
      <x:c r="O191" s="60" t="str">
        <x:v>Science</x:v>
      </x:c>
      <x:c r="P191" s="60" t="str">
        <x:v>Automated structural screening passed. Rewrite the explanation to teach the reasoning before publication.</x:v>
      </x:c>
    </x:row>
    <x:row r="192">
      <x:c r="A192" s="60" t="str">
        <x:v>QB-0419</x:v>
      </x:c>
      <x:c r="B192" s="62" t="n">
        <x:v>419</x:v>
      </x:c>
      <x:c r="C192" s="60" t="str">
        <x:v>Science</x:v>
      </x:c>
      <x:c r="D192" s="60" t="str">
        <x:v>Hard</x:v>
      </x:c>
      <x:c r="E192" s="60" t="str">
        <x:v>Light &amp; Optics</x:v>
      </x:c>
      <x:c r="F192" s="60" t="str">
        <x:v>A ray of light is incident on a plane mirror at an angle of incidence of 15º. The deviation in the ray produced by the mirror is</x:v>
      </x:c>
      <x:c r="G192" s="60" t="str">
        <x:v>30º</x:v>
      </x:c>
      <x:c r="H192" s="60" t="str">
        <x:v>60º</x:v>
      </x:c>
      <x:c r="I192" s="60" t="str">
        <x:v>120º</x:v>
      </x:c>
      <x:c r="J192" s="60" t="str">
        <x:v>150º</x:v>
      </x:c>
      <x:c r="K192" s="60" t="str">
        <x:v>D</x:v>
      </x:c>
      <x:c r="L192" s="60" t="str">
        <x:v>150º</x:v>
      </x:c>
      <x:c r="M192" s="60" t="str">
        <x:v>The applicable optics principle identifies 150º.</x:v>
      </x:c>
      <x:c r="N192" s="60" t="str">
        <x:v>C3ABD/1</x:v>
      </x:c>
      <x:c r="O192" s="60" t="str">
        <x:v>Science</x:v>
      </x:c>
      <x:c r="P192" s="60" t="str">
        <x:v>Automated structural screening passed. Rewrite the explanation to teach the reasoning before publication.</x:v>
      </x:c>
    </x:row>
    <x:row r="193">
      <x:c r="A193" s="60" t="str">
        <x:v>QB-0420</x:v>
      </x:c>
      <x:c r="B193" s="62" t="n">
        <x:v>420</x:v>
      </x:c>
      <x:c r="C193" s="60" t="str">
        <x:v>Science</x:v>
      </x:c>
      <x:c r="D193" s="60" t="str">
        <x:v>Hard</x:v>
      </x:c>
      <x:c r="E193" s="60" t="str">
        <x:v>Light &amp; Optics</x:v>
      </x:c>
      <x:c r="F193" s="60" t="str">
        <x:v>Consider the following statements : i. Ciliary muscles adjust for changing the intensity of light entering the eye. ii. Myopic eye can be corrected by converging lenses of suitable power. iii. The function of the pupil is to regulate the quantity of light entering the eye. iv. When ciliary muscles are completely relaxed, the focal length of the eye lens is maximum. The correct statements are</x:v>
      </x:c>
      <x:c r="G193" s="60" t="str">
        <x:v>i, ii and iv</x:v>
      </x:c>
      <x:c r="H193" s="60" t="str">
        <x:v>i, ii and iii</x:v>
      </x:c>
      <x:c r="I193" s="60" t="str">
        <x:v>iii and iv</x:v>
      </x:c>
      <x:c r="J193" s="60" t="str">
        <x:v>ii and iv</x:v>
      </x:c>
      <x:c r="K193" s="60" t="str">
        <x:v>C</x:v>
      </x:c>
      <x:c r="L193" s="60" t="str">
        <x:v>iii and iv</x:v>
      </x:c>
      <x:c r="M193" s="60" t="str">
        <x:v>The applicable optics principle identifies iii and iv.</x:v>
      </x:c>
      <x:c r="N193" s="60" t="str">
        <x:v>C3ABD/1</x:v>
      </x:c>
      <x:c r="O193" s="60" t="str">
        <x:v>Science</x:v>
      </x:c>
      <x:c r="P193" s="60" t="str">
        <x:v>Automated structural screening passed. Rewrite the explanation to teach the reasoning before publication.</x:v>
      </x:c>
    </x:row>
    <x:row r="194">
      <x:c r="A194" s="60" t="str">
        <x:v>QB-0421</x:v>
      </x:c>
      <x:c r="B194" s="62" t="n">
        <x:v>421</x:v>
      </x:c>
      <x:c r="C194" s="60" t="str">
        <x:v>Science</x:v>
      </x:c>
      <x:c r="D194" s="60" t="str">
        <x:v>Hard</x:v>
      </x:c>
      <x:c r="E194" s="60" t="str">
        <x:v>Light &amp; Optics</x:v>
      </x:c>
      <x:c r="F194" s="60" t="str">
        <x:v>For an object, a convex mirror always forms an image which is</x:v>
      </x:c>
      <x:c r="G194" s="60" t="str">
        <x:v>Virtual, erect and magnified</x:v>
      </x:c>
      <x:c r="H194" s="60" t="str">
        <x:v>Virtual, erect and diminished</x:v>
      </x:c>
      <x:c r="I194" s="60" t="str">
        <x:v>Virtual, inverted and diminished</x:v>
      </x:c>
      <x:c r="J194" s="60" t="str">
        <x:v>Real, erect and diminished</x:v>
      </x:c>
      <x:c r="K194" s="60" t="str">
        <x:v>B</x:v>
      </x:c>
      <x:c r="L194" s="60" t="str">
        <x:v>Virtual, erect and diminished</x:v>
      </x:c>
      <x:c r="M194" s="60" t="str">
        <x:v>The applicable optics principle identifies Virtual, erect and diminished.</x:v>
      </x:c>
      <x:c r="N194" s="60" t="str">
        <x:v>C3ABD/1</x:v>
      </x:c>
      <x:c r="O194" s="60" t="str">
        <x:v>Science</x:v>
      </x:c>
      <x:c r="P194" s="60" t="str">
        <x:v>Automated structural screening passed. Rewrite the explanation to teach the reasoning before publication.</x:v>
      </x:c>
    </x:row>
    <x:row r="195">
      <x:c r="A195" s="60" t="str">
        <x:v>QB-0423</x:v>
      </x:c>
      <x:c r="B195" s="62" t="n">
        <x:v>423</x:v>
      </x:c>
      <x:c r="C195" s="60" t="str">
        <x:v>Science</x:v>
      </x:c>
      <x:c r="D195" s="60" t="str">
        <x:v>Hard</x:v>
      </x:c>
      <x:c r="E195" s="60" t="str">
        <x:v>Electricity &amp; Magnetism</x:v>
      </x:c>
      <x:c r="F195" s="60" t="str">
        <x:v>Two resistors of 1 and 3 are connected in parallel in a circuit. If a current of 1 ampere is flowing through the circuit, the current flowing through the 3 resistor is</x:v>
      </x:c>
      <x:c r="G195" s="60" t="str">
        <x:v>1·0 ampere</x:v>
      </x:c>
      <x:c r="H195" s="60" t="str">
        <x:v>0·75 ampere</x:v>
      </x:c>
      <x:c r="I195" s="60" t="str">
        <x:v>0·33 ampere</x:v>
      </x:c>
      <x:c r="J195" s="60" t="str">
        <x:v>0·25 ampere</x:v>
      </x:c>
      <x:c r="K195" s="60" t="str">
        <x:v>D</x:v>
      </x:c>
      <x:c r="L195" s="60" t="str">
        <x:v>0·25 ampere</x:v>
      </x:c>
      <x:c r="M195" s="60" t="str">
        <x:v>The stated electricity or magnetism rule gives 0·25 ampere.</x:v>
      </x:c>
      <x:c r="N195" s="60" t="str">
        <x:v>C3ABD/1</x:v>
      </x:c>
      <x:c r="O195" s="60" t="str">
        <x:v>Science</x:v>
      </x:c>
      <x:c r="P195" s="60" t="str">
        <x:v>Automated structural screening passed. Rewrite the explanation to teach the reasoning before publication.</x:v>
      </x:c>
    </x:row>
    <x:row r="196">
      <x:c r="A196" s="60" t="str">
        <x:v>QB-0424</x:v>
      </x:c>
      <x:c r="B196" s="62" t="n">
        <x:v>424</x:v>
      </x:c>
      <x:c r="C196" s="60" t="str">
        <x:v>Science</x:v>
      </x:c>
      <x:c r="D196" s="60" t="str">
        <x:v>Hard</x:v>
      </x:c>
      <x:c r="E196" s="60" t="str">
        <x:v>Light &amp; Optics</x:v>
      </x:c>
      <x:c r="F196" s="60" t="str">
        <x:v>How will the image formed by a convex lens be affected, if the upper half of the lens is wrapped with a black paper?</x:v>
      </x:c>
      <x:c r="G196" s="60" t="str">
        <x:v>The image size becomes half.</x:v>
      </x:c>
      <x:c r="H196" s="60" t="str">
        <x:v>The upper half of the object is not imaged.</x:v>
      </x:c>
      <x:c r="I196" s="60" t="str">
        <x:v>The brightness of the image reduces.</x:v>
      </x:c>
      <x:c r="J196" s="60" t="str">
        <x:v>The lower half of the inverted image is not formed.</x:v>
      </x:c>
      <x:c r="K196" s="60" t="str">
        <x:v>C</x:v>
      </x:c>
      <x:c r="L196" s="60" t="str">
        <x:v>The brightness of the image reduces.</x:v>
      </x:c>
      <x:c r="M196" s="60" t="str">
        <x:v>The applicable optics principle identifies The brightness of the image reduces..</x:v>
      </x:c>
      <x:c r="N196" s="60" t="str">
        <x:v>CABD5/5</x:v>
      </x:c>
      <x:c r="O196" s="60" t="str">
        <x:v>Science</x:v>
      </x:c>
      <x:c r="P196" s="60" t="str">
        <x:v>Automated structural screening passed. Rewrite the explanation to teach the reasoning before publication.</x:v>
      </x:c>
    </x:row>
    <x:row r="197">
      <x:c r="A197" s="60" t="str">
        <x:v>QB-0425</x:v>
      </x:c>
      <x:c r="B197" s="62" t="n">
        <x:v>425</x:v>
      </x:c>
      <x:c r="C197" s="60" t="str">
        <x:v>Science</x:v>
      </x:c>
      <x:c r="D197" s="60" t="str">
        <x:v>Medium</x:v>
      </x:c>
      <x:c r="E197" s="60" t="str">
        <x:v>Chemistry</x:v>
      </x:c>
      <x:c r="F197" s="60" t="str">
        <x:v>A metal X is used in the thermit process. When X is heated with oxygen, it forms an amphoteric oxide Y. X and Y respectively are</x:v>
      </x:c>
      <x:c r="G197" s="60" t="str">
        <x:v>Mn, MnO2</x:v>
      </x:c>
      <x:c r="H197" s="60" t="str">
        <x:v>Al, Al2O3</x:v>
      </x:c>
      <x:c r="I197" s="60" t="str">
        <x:v>Fe, Fe2O3</x:v>
      </x:c>
      <x:c r="J197" s="60" t="str">
        <x:v>Mg, MgO</x:v>
      </x:c>
      <x:c r="K197" s="60" t="str">
        <x:v>B</x:v>
      </x:c>
      <x:c r="L197" s="60" t="str">
        <x:v>Al, Al2O3</x:v>
      </x:c>
      <x:c r="M197" s="60" t="str">
        <x:v>The chemical property or reaction shown identifies Al, Al2O3.</x:v>
      </x:c>
      <x:c r="N197" s="60" t="str">
        <x:v>CABD5/5</x:v>
      </x:c>
      <x:c r="O197" s="60" t="str">
        <x:v>Science</x:v>
      </x:c>
      <x:c r="P197" s="60" t="str">
        <x:v>Automated structural screening passed. Rewrite the explanation to teach the reasoning before publication.</x:v>
      </x:c>
    </x:row>
    <x:row r="198">
      <x:c r="A198" s="60" t="str">
        <x:v>QB-0427</x:v>
      </x:c>
      <x:c r="B198" s="62" t="n">
        <x:v>427</x:v>
      </x:c>
      <x:c r="C198" s="60" t="str">
        <x:v>Science</x:v>
      </x:c>
      <x:c r="D198" s="60" t="str">
        <x:v>Easy</x:v>
      </x:c>
      <x:c r="E198" s="60" t="str">
        <x:v>General Science</x:v>
      </x:c>
      <x:c r="F198" s="60" t="str">
        <x:v>Identify an involuntary action from the following</x:v>
      </x:c>
      <x:c r="G198" s="60" t="str">
        <x:v>Riding a bicycle</x:v>
      </x:c>
      <x:c r="H198" s="60" t="str">
        <x:v>Picking up a pencil</x:v>
      </x:c>
      <x:c r="I198" s="60" t="str">
        <x:v>Regular beating of heart</x:v>
      </x:c>
      <x:c r="J198" s="60" t="str">
        <x:v>Walking in a straight line</x:v>
      </x:c>
      <x:c r="K198" s="60" t="str">
        <x:v>C</x:v>
      </x:c>
      <x:c r="L198" s="60" t="str">
        <x:v>Regular beating of heart</x:v>
      </x:c>
      <x:c r="M198" s="60" t="str">
        <x:v>The scientific principle described in “Identify an involuntary action from the following” supports Regular beating of heart.</x:v>
      </x:c>
      <x:c r="N198" s="60" t="str">
        <x:v>CABD5/5</x:v>
      </x:c>
      <x:c r="O198" s="60" t="str">
        <x:v>Science</x:v>
      </x:c>
      <x:c r="P198" s="60" t="str">
        <x:v>Automated structural screening passed. Rewrite the explanation to teach the reasoning before publication.</x:v>
      </x:c>
    </x:row>
    <x:row r="199">
      <x:c r="A199" s="60" t="str">
        <x:v>QB-0428</x:v>
      </x:c>
      <x:c r="B199" s="62" t="n">
        <x:v>428</x:v>
      </x:c>
      <x:c r="C199" s="60" t="str">
        <x:v>Science</x:v>
      </x:c>
      <x:c r="D199" s="60" t="str">
        <x:v>Hard</x:v>
      </x:c>
      <x:c r="E199" s="60" t="str">
        <x:v>Electricity &amp; Magnetism</x:v>
      </x:c>
      <x:c r="F199" s="60" t="str">
        <x:v>The current carrying device which produces a magnetic field similar to that of a bar magnet is</x:v>
      </x:c>
      <x:c r="G199" s="60" t="str">
        <x:v>A straight conductor</x:v>
      </x:c>
      <x:c r="H199" s="60" t="str">
        <x:v>A circular loop</x:v>
      </x:c>
      <x:c r="I199" s="60" t="str">
        <x:v>A solenoid</x:v>
      </x:c>
      <x:c r="J199" s="60" t="str">
        <x:v>A circular coil</x:v>
      </x:c>
      <x:c r="K199" s="60" t="str">
        <x:v>C</x:v>
      </x:c>
      <x:c r="L199" s="60" t="str">
        <x:v>A solenoid</x:v>
      </x:c>
      <x:c r="M199" s="60" t="str">
        <x:v>The stated electricity or magnetism rule gives A solenoid.</x:v>
      </x:c>
      <x:c r="N199" s="60" t="str">
        <x:v>CABD5/5</x:v>
      </x:c>
      <x:c r="O199" s="60" t="str">
        <x:v>Science</x:v>
      </x:c>
      <x:c r="P199" s="60" t="str">
        <x:v>Automated structural screening passed. Rewrite the explanation to teach the reasoning before publication.</x:v>
      </x:c>
    </x:row>
    <x:row r="200">
      <x:c r="A200" s="60" t="str">
        <x:v>QB-0429</x:v>
      </x:c>
      <x:c r="B200" s="62" t="n">
        <x:v>429</x:v>
      </x:c>
      <x:c r="C200" s="60" t="str">
        <x:v>Science</x:v>
      </x:c>
      <x:c r="D200" s="60" t="str">
        <x:v>Medium</x:v>
      </x:c>
      <x:c r="E200" s="60" t="str">
        <x:v>Chemistry</x:v>
      </x:c>
      <x:c r="F200" s="60" t="str">
        <x:v>Which of the following is not a thermal decomposition reaction?</x:v>
      </x:c>
      <x:c r="G200" s="60" t="str">
        <x:v>2 FeSO4 Fe2O3 + SO2 + SO3</x:v>
      </x:c>
      <x:c r="H200" s="60" t="str">
        <x:v>CaCO3 CaO + CO2</x:v>
      </x:c>
      <x:c r="I200" s="60" t="str">
        <x:v>2 AgCl 2 Ag + Cl2</x:v>
      </x:c>
      <x:c r="J200" s="60" t="str">
        <x:v>Pb(NO3)2 2 PbO + 4 NO2 + O2</x:v>
      </x:c>
      <x:c r="K200" s="60" t="str">
        <x:v>C</x:v>
      </x:c>
      <x:c r="L200" s="60" t="str">
        <x:v>2 AgCl 2 Ag + Cl2</x:v>
      </x:c>
      <x:c r="M200" s="60" t="str">
        <x:v>The chemical property or reaction shown identifies 2 AgCl 2 Ag + Cl2.</x:v>
      </x:c>
      <x:c r="N200" s="60" t="str">
        <x:v>CABD5/5</x:v>
      </x:c>
      <x:c r="O200" s="60" t="str">
        <x:v>Science</x:v>
      </x:c>
      <x:c r="P200" s="60" t="str">
        <x:v>Automated structural screening passed. Rewrite the explanation to teach the reasoning before publication.</x:v>
      </x:c>
    </x:row>
    <x:row r="201">
      <x:c r="A201" s="60" t="str">
        <x:v>QB-0430</x:v>
      </x:c>
      <x:c r="B201" s="62" t="n">
        <x:v>430</x:v>
      </x:c>
      <x:c r="C201" s="60" t="str">
        <x:v>Science</x:v>
      </x:c>
      <x:c r="D201" s="60" t="str">
        <x:v>Easy</x:v>
      </x:c>
      <x:c r="E201" s="60" t="str">
        <x:v>Environment</x:v>
      </x:c>
      <x:c r="F201" s="60" t="str">
        <x:v>Which one of the following is not a natural ecosystem?</x:v>
      </x:c>
      <x:c r="G201" s="60" t="str">
        <x:v>Pond ecosystem</x:v>
      </x:c>
      <x:c r="H201" s="60" t="str">
        <x:v>Grassland ecosystem</x:v>
      </x:c>
      <x:c r="I201" s="60" t="str">
        <x:v>Forest ecosystem</x:v>
      </x:c>
      <x:c r="J201" s="60" t="str">
        <x:v>Cropland ecosystem</x:v>
      </x:c>
      <x:c r="K201" s="60" t="str">
        <x:v>D</x:v>
      </x:c>
      <x:c r="L201" s="60" t="str">
        <x:v>Cropland ecosystem</x:v>
      </x:c>
      <x:c r="M201" s="60" t="str">
        <x:v>Energy flow and nutrient cycling make Cropland ecosystem correct.</x:v>
      </x:c>
      <x:c r="N201" s="60" t="str">
        <x:v>CABD5/5</x:v>
      </x:c>
      <x:c r="O201" s="60" t="str">
        <x:v>Science</x:v>
      </x:c>
      <x:c r="P201" s="60" t="str">
        <x:v>Automated structural screening passed. Rewrite the explanation to teach the reasoning before publication.</x:v>
      </x:c>
    </x:row>
    <x:row r="202">
      <x:c r="A202" s="60" t="str">
        <x:v>QB-0431</x:v>
      </x:c>
      <x:c r="B202" s="62" t="n">
        <x:v>431</x:v>
      </x:c>
      <x:c r="C202" s="60" t="str">
        <x:v>Science</x:v>
      </x:c>
      <x:c r="D202" s="60" t="str">
        <x:v>Easy</x:v>
      </x:c>
      <x:c r="E202" s="60" t="str">
        <x:v>General Science</x:v>
      </x:c>
      <x:c r="F202" s="60" t="str">
        <x:v>The incorrect statement about placenta is</x:v>
      </x:c>
      <x:c r="G202" s="60" t="str">
        <x:v>It is a disc embedded in the uterine wall.</x:v>
      </x:c>
      <x:c r="H202" s="60" t="str">
        <x:v>It contains villi on the embryo’s side of the tissue.</x:v>
      </x:c>
      <x:c r="I202" s="60" t="str">
        <x:v>It has a very small surface area for glucose and oxygen to pass from mother to embryo.</x:v>
      </x:c>
      <x:c r="J202" s="60" t="str">
        <x:v>The embryo gets nutrition from the mother’s blood through it.</x:v>
      </x:c>
      <x:c r="K202" s="60" t="str">
        <x:v>C</x:v>
      </x:c>
      <x:c r="L202" s="60" t="str">
        <x:v>It has a very small surface area for glucose and oxygen to pass from mother to embryo.</x:v>
      </x:c>
      <x:c r="M202" s="60" t="str">
        <x:v>The described biological process supports It has a very small surface area for glucose and oxygen to pass from mother to embryo..</x:v>
      </x:c>
      <x:c r="N202" s="60" t="str">
        <x:v>CABD5/5</x:v>
      </x:c>
      <x:c r="O202" s="60" t="str">
        <x:v>Science</x:v>
      </x:c>
      <x:c r="P202" s="60" t="str">
        <x:v>Automated structural screening passed. Rewrite the explanation to teach the reasoning before publication.</x:v>
      </x:c>
    </x:row>
    <x:row r="203">
      <x:c r="A203" s="60" t="str">
        <x:v>QB-0432</x:v>
      </x:c>
      <x:c r="B203" s="62" t="n">
        <x:v>432</x:v>
      </x:c>
      <x:c r="C203" s="60" t="str">
        <x:v>Science</x:v>
      </x:c>
      <x:c r="D203" s="60" t="str">
        <x:v>Medium</x:v>
      </x:c>
      <x:c r="E203" s="60" t="str">
        <x:v>Chemistry</x:v>
      </x:c>
      <x:c r="F203" s="60" t="str">
        <x:v>A metal and a non-metal that exists in liquid state at the room temperature are respectively</x:v>
      </x:c>
      <x:c r="G203" s="60" t="str">
        <x:v>Bromine and Mercury</x:v>
      </x:c>
      <x:c r="H203" s="60" t="str">
        <x:v>Mercury and Iodine</x:v>
      </x:c>
      <x:c r="I203" s="60" t="str">
        <x:v>Mercury and Bromine</x:v>
      </x:c>
      <x:c r="J203" s="60" t="str">
        <x:v>Iodine and Mercury</x:v>
      </x:c>
      <x:c r="K203" s="60" t="str">
        <x:v>C</x:v>
      </x:c>
      <x:c r="L203" s="60" t="str">
        <x:v>Mercury and Bromine</x:v>
      </x:c>
      <x:c r="M203" s="60" t="str">
        <x:v>The chemical property or reaction shown identifies Mercury and Bromine.</x:v>
      </x:c>
      <x:c r="N203" s="60" t="str">
        <x:v>D3CBA/1</x:v>
      </x:c>
      <x:c r="O203" s="60" t="str">
        <x:v>Science</x:v>
      </x:c>
      <x:c r="P203" s="60" t="str">
        <x:v>Automated structural screening passed. Rewrite the explanation to teach the reasoning before publication.</x:v>
      </x:c>
    </x:row>
    <x:row r="204">
      <x:c r="A204" s="60" t="str">
        <x:v>QB-0433</x:v>
      </x:c>
      <x:c r="B204" s="62" t="n">
        <x:v>433</x:v>
      </x:c>
      <x:c r="C204" s="60" t="str">
        <x:v>Science</x:v>
      </x:c>
      <x:c r="D204" s="60" t="str">
        <x:v>Medium</x:v>
      </x:c>
      <x:c r="E204" s="60" t="str">
        <x:v>Life Processes</x:v>
      </x:c>
      <x:c r="F204" s="60" t="str">
        <x:v>A stoma closes when: (i) it needs carbon dioxide for photosynthesis; (ii) it does not need carbon dioxide for photosynthesis; (iii) water flows out of guard cells; (iv) water flows into guard cells. The correct reasons are</x:v>
      </x:c>
      <x:c r="G204" s="60" t="str">
        <x:v>(i) only</x:v>
      </x:c>
      <x:c r="H204" s="60" t="str">
        <x:v>(i) and (iii)</x:v>
      </x:c>
      <x:c r="I204" s="60" t="str">
        <x:v>(ii) and (iii)</x:v>
      </x:c>
      <x:c r="J204" s="60" t="str">
        <x:v>(ii) and (iv)</x:v>
      </x:c>
      <x:c r="K204" s="60" t="str">
        <x:v>C</x:v>
      </x:c>
      <x:c r="L204" s="60" t="str">
        <x:v>(ii) and (iii)</x:v>
      </x:c>
      <x:c r="M204" s="60" t="str">
        <x:v>The described biological process supports (ii) and (iii).</x:v>
      </x:c>
      <x:c r="N204" s="60" t="str">
        <x:v>D3CBA/1</x:v>
      </x:c>
      <x:c r="O204" s="60" t="str">
        <x:v>Science</x:v>
      </x:c>
      <x:c r="P204" s="60" t="str">
        <x:v>Automated structural screening passed. Rewrite the explanation to teach the reasoning before publication.</x:v>
      </x:c>
    </x:row>
    <x:row r="205">
      <x:c r="A205" s="60" t="str">
        <x:v>QB-0434</x:v>
      </x:c>
      <x:c r="B205" s="62" t="n">
        <x:v>434</x:v>
      </x:c>
      <x:c r="C205" s="60" t="str">
        <x:v>Science</x:v>
      </x:c>
      <x:c r="D205" s="60" t="str">
        <x:v>Medium</x:v>
      </x:c>
      <x:c r="E205" s="60" t="str">
        <x:v>Chemistry</x:v>
      </x:c>
      <x:c r="F205" s="60" t="str">
        <x:v>Carbon compounds: (i) are good conductors of electricity; (ii) are bad conductors of electricity; (iii) have strong intermolecular forces; (iv) have weak intermolecular forces. The correct statements are</x:v>
      </x:c>
      <x:c r="G205" s="60" t="str">
        <x:v>(i) and (ii)</x:v>
      </x:c>
      <x:c r="H205" s="60" t="str">
        <x:v>(ii) and (iii)</x:v>
      </x:c>
      <x:c r="I205" s="60" t="str">
        <x:v>(ii) and (iv)</x:v>
      </x:c>
      <x:c r="J205" s="60" t="str">
        <x:v>(i) and (iii)</x:v>
      </x:c>
      <x:c r="K205" s="60" t="str">
        <x:v>C</x:v>
      </x:c>
      <x:c r="L205" s="60" t="str">
        <x:v>(ii) and (iv)</x:v>
      </x:c>
      <x:c r="M205" s="60" t="str">
        <x:v>The chemical property or reaction shown identifies (ii) and (iv).</x:v>
      </x:c>
      <x:c r="N205" s="60" t="str">
        <x:v>D3CBA/1</x:v>
      </x:c>
      <x:c r="O205" s="60" t="str">
        <x:v>Science</x:v>
      </x:c>
      <x:c r="P205" s="60" t="str">
        <x:v>Automated structural screening passed. Rewrite the explanation to teach the reasoning before publication.</x:v>
      </x:c>
    </x:row>
    <x:row r="206">
      <x:c r="A206" s="60" t="str">
        <x:v>QB-0435</x:v>
      </x:c>
      <x:c r="B206" s="62" t="n">
        <x:v>435</x:v>
      </x:c>
      <x:c r="C206" s="60" t="str">
        <x:v>Science</x:v>
      </x:c>
      <x:c r="D206" s="60" t="str">
        <x:v>Hard</x:v>
      </x:c>
      <x:c r="E206" s="60" t="str">
        <x:v>Genetics &amp; Reproduction</x:v>
      </x:c>
      <x:c r="F206" s="60" t="str">
        <x:v>Consider the following statements : (i) The sex of a child is determined by what it inherits from the mother. (ii) The sex of a child is determined by what it inherits from the father. (iii) The probability of having a male child is more than that of a female child. (iv) The sex of a child is determined at the time of fertilisation when male and female gametes fuse to form a zygote. The correct statements are</x:v>
      </x:c>
      <x:c r="G206" s="60" t="str">
        <x:v>(i) and (iii)</x:v>
      </x:c>
      <x:c r="H206" s="60" t="str">
        <x:v>(ii) and (iv)</x:v>
      </x:c>
      <x:c r="I206" s="60" t="str">
        <x:v>(iii) and (iv)</x:v>
      </x:c>
      <x:c r="J206" s="60" t="str">
        <x:v>(i) and (ii)</x:v>
      </x:c>
      <x:c r="K206" s="60" t="str">
        <x:v>B</x:v>
      </x:c>
      <x:c r="L206" s="60" t="str">
        <x:v>(ii) and (iv)</x:v>
      </x:c>
      <x:c r="M206" s="60" t="str">
        <x:v>The described biological process supports (ii) and (iv).</x:v>
      </x:c>
      <x:c r="N206" s="60" t="str">
        <x:v>D3CBA/1</x:v>
      </x:c>
      <x:c r="O206" s="60" t="str">
        <x:v>Science</x:v>
      </x:c>
      <x:c r="P206" s="60" t="str">
        <x:v>Automated structural screening passed. Rewrite the explanation to teach the reasoning before publication.</x:v>
      </x:c>
    </x:row>
    <x:row r="207">
      <x:c r="A207" s="60" t="str">
        <x:v>QB-0436</x:v>
      </x:c>
      <x:c r="B207" s="62" t="n">
        <x:v>436</x:v>
      </x:c>
      <x:c r="C207" s="60" t="str">
        <x:v>Science</x:v>
      </x:c>
      <x:c r="D207" s="60" t="str">
        <x:v>Medium</x:v>
      </x:c>
      <x:c r="E207" s="60" t="str">
        <x:v>Chemistry</x:v>
      </x:c>
      <x:c r="F207" s="60" t="str">
        <x:v>When 2 mL of sodium hydroxide solution is added to few pieces of granulated zinc in a test tube and then warmed, the reaction that occurs can be written in the form of a balanced chemical equation as</x:v>
      </x:c>
      <x:c r="G207" s="60" t="str">
        <x:v>NaOH + Zn → NaZnO2 + H2O</x:v>
      </x:c>
      <x:c r="H207" s="60" t="str">
        <x:v>2NaOH + Zn → Na2ZnO2 + H2</x:v>
      </x:c>
      <x:c r="I207" s="60" t="str">
        <x:v>2NaOH + Zn → NaZnO2 + H2</x:v>
      </x:c>
      <x:c r="J207" s="60" t="str">
        <x:v>2NaOH + Zn → Na2ZnO2 + H2O</x:v>
      </x:c>
      <x:c r="K207" s="60" t="str">
        <x:v>B</x:v>
      </x:c>
      <x:c r="L207" s="60" t="str">
        <x:v>2NaOH + Zn → Na2ZnO2 + H2</x:v>
      </x:c>
      <x:c r="M207" s="60" t="str">
        <x:v>The chemical property or reaction shown identifies 2NaOH + Zn → Na2ZnO2 + H2.</x:v>
      </x:c>
      <x:c r="N207" s="60" t="str">
        <x:v>D3CBA/1</x:v>
      </x:c>
      <x:c r="O207" s="60" t="str">
        <x:v>Science</x:v>
      </x:c>
      <x:c r="P207" s="60" t="str">
        <x:v>Automated structural screening passed. Rewrite the explanation to teach the reasoning before publication.</x:v>
      </x:c>
    </x:row>
    <x:row r="208">
      <x:c r="A208" s="60" t="str">
        <x:v>QB-0437</x:v>
      </x:c>
      <x:c r="B208" s="62" t="n">
        <x:v>437</x:v>
      </x:c>
      <x:c r="C208" s="60" t="str">
        <x:v>Science</x:v>
      </x:c>
      <x:c r="D208" s="60" t="str">
        <x:v>Medium</x:v>
      </x:c>
      <x:c r="E208" s="60" t="str">
        <x:v>Chemistry</x:v>
      </x:c>
      <x:c r="F208" s="60" t="str">
        <x:v>Consider the following compounds : FeS04 ; cuS04 ; CaS04 ; Na2C03 The compound having maximum number of water of crystallisation in its crystalline form in one molecule is</x:v>
      </x:c>
      <x:c r="G208" s="60" t="str">
        <x:v>FeSO4</x:v>
      </x:c>
      <x:c r="H208" s="60" t="str">
        <x:v>CuSO4</x:v>
      </x:c>
      <x:c r="I208" s="60" t="str">
        <x:v>CaSO4</x:v>
      </x:c>
      <x:c r="J208" s="60" t="str">
        <x:v>Na2CO3</x:v>
      </x:c>
      <x:c r="K208" s="60" t="str">
        <x:v>D</x:v>
      </x:c>
      <x:c r="L208" s="60" t="str">
        <x:v>Na2CO3</x:v>
      </x:c>
      <x:c r="M208" s="60" t="str">
        <x:v>The scientific principle described in “Consider the following compounds FeS04 cuS04 CaS04” supports Na2CO3.</x:v>
      </x:c>
      <x:c r="N208" s="60" t="str">
        <x:v>D3CBA/1</x:v>
      </x:c>
      <x:c r="O208" s="60" t="str">
        <x:v>Science</x:v>
      </x:c>
      <x:c r="P208" s="60" t="str">
        <x:v>Automated structural screening passed. Rewrite the explanation to teach the reasoning before publication.</x:v>
      </x:c>
    </x:row>
    <x:row r="209">
      <x:c r="A209" s="60" t="str">
        <x:v>QB-0438</x:v>
      </x:c>
      <x:c r="B209" s="62" t="n">
        <x:v>438</x:v>
      </x:c>
      <x:c r="C209" s="60" t="str">
        <x:v>Science</x:v>
      </x:c>
      <x:c r="D209" s="60" t="str">
        <x:v>Hard</x:v>
      </x:c>
      <x:c r="E209" s="60" t="str">
        <x:v>Genetics &amp; Reproduction</x:v>
      </x:c>
      <x:c r="F209" s="60" t="str">
        <x:v>In which of the following organisms, multiple fission is a means of asexual reproduction?</x:v>
      </x:c>
      <x:c r="G209" s="60" t="str">
        <x:v>Yeast</x:v>
      </x:c>
      <x:c r="H209" s="60" t="str">
        <x:v>Leishmania</x:v>
      </x:c>
      <x:c r="I209" s="60" t="str">
        <x:v>Paramecium</x:v>
      </x:c>
      <x:c r="J209" s="60" t="str">
        <x:v>Plasmodium</x:v>
      </x:c>
      <x:c r="K209" s="60" t="str">
        <x:v>D</x:v>
      </x:c>
      <x:c r="L209" s="60" t="str">
        <x:v>Plasmodium</x:v>
      </x:c>
      <x:c r="M209" s="60" t="str">
        <x:v>The described biological process supports Plasmodium.</x:v>
      </x:c>
      <x:c r="N209" s="60" t="str">
        <x:v>D3CBA/1</x:v>
      </x:c>
      <x:c r="O209" s="60" t="str">
        <x:v>Science</x:v>
      </x:c>
      <x:c r="P209" s="60" t="str">
        <x:v>Automated structural screening passed. Rewrite the explanation to teach the reasoning before publication.</x:v>
      </x:c>
    </x:row>
    <x:row r="210">
      <x:c r="A210" s="60" t="str">
        <x:v>QB-0439</x:v>
      </x:c>
      <x:c r="B210" s="62" t="n">
        <x:v>439</x:v>
      </x:c>
      <x:c r="C210" s="60" t="str">
        <x:v>Science</x:v>
      </x:c>
      <x:c r="D210" s="60" t="str">
        <x:v>Easy</x:v>
      </x:c>
      <x:c r="E210" s="60" t="str">
        <x:v>General Science</x:v>
      </x:c>
      <x:c r="F210" s="60" t="str">
        <x:v>Which one of the following statements is NOT true?</x:v>
      </x:c>
      <x:c r="G210" s="60" t="str">
        <x:v>DNA carries hereditary information from parents to the next generation.</x:v>
      </x:c>
      <x:c r="H210" s="60" t="str">
        <x:v>DNA provides information for making proteins.</x:v>
      </x:c>
      <x:c r="I210" s="60" t="str">
        <x:v>A change in DNA information can lead to different proteins.</x:v>
      </x:c>
      <x:c r="J210" s="60" t="str">
        <x:v>Features remain the same even if the protein changes.</x:v>
      </x:c>
      <x:c r="K210" s="60" t="str">
        <x:v>D</x:v>
      </x:c>
      <x:c r="L210" s="60" t="str">
        <x:v>Features remain the same even if the protein changes.</x:v>
      </x:c>
      <x:c r="M210" s="60" t="str">
        <x:v>The scientific principle described in “Which one of the following statements is” supports Features remain the same even if the protein changes..</x:v>
      </x:c>
      <x:c r="N210" s="60" t="str">
        <x:v>D3CBA/1</x:v>
      </x:c>
      <x:c r="O210" s="60" t="str">
        <x:v>Science</x:v>
      </x:c>
      <x:c r="P210" s="60" t="str">
        <x:v>Automated structural screening passed. Rewrite the explanation to teach the reasoning before publication.</x:v>
      </x:c>
    </x:row>
    <x:row r="211">
      <x:c r="A211" s="60" t="str">
        <x:v>QB-0440</x:v>
      </x:c>
      <x:c r="B211" s="62" t="n">
        <x:v>440</x:v>
      </x:c>
      <x:c r="C211" s="60" t="str">
        <x:v>Science</x:v>
      </x:c>
      <x:c r="D211" s="60" t="str">
        <x:v>Medium</x:v>
      </x:c>
      <x:c r="E211" s="60" t="str">
        <x:v>Chemistry</x:v>
      </x:c>
      <x:c r="F211" s="60" t="str">
        <x:v>MnO2 + 4HCl → MnCl2 + 2H2O + Cl2 is a redox reaction because</x:v>
      </x:c>
      <x:c r="G211" s="60" t="str">
        <x:v>MnO2 is oxidised and HCl is reduced.</x:v>
      </x:c>
      <x:c r="H211" s="60" t="str">
        <x:v>Only HCl is oxidised.</x:v>
      </x:c>
      <x:c r="I211" s="60" t="str">
        <x:v>Only MnO2 is reduced.</x:v>
      </x:c>
      <x:c r="J211" s="60" t="str">
        <x:v>MnO2 is reduced and HCl is oxidised.</x:v>
      </x:c>
      <x:c r="K211" s="60" t="str">
        <x:v>D</x:v>
      </x:c>
      <x:c r="L211" s="60" t="str">
        <x:v>MnO2 is reduced and HCl is oxidised.</x:v>
      </x:c>
      <x:c r="M211" s="60" t="str">
        <x:v>The chemical property or reaction shown identifies MnO2 is reduced and HCl is oxidised..</x:v>
      </x:c>
      <x:c r="N211" s="60" t="str">
        <x:v>D3CBA/1</x:v>
      </x:c>
      <x:c r="O211" s="60" t="str">
        <x:v>Science</x:v>
      </x:c>
      <x:c r="P211" s="60" t="str">
        <x:v>Automated structural screening passed. Rewrite the explanation to teach the reasoning before publication.</x:v>
      </x:c>
    </x:row>
    <x:row r="212">
      <x:c r="A212" s="60" t="str">
        <x:v>QB-0444</x:v>
      </x:c>
      <x:c r="B212" s="62" t="n">
        <x:v>444</x:v>
      </x:c>
      <x:c r="C212" s="60" t="str">
        <x:v>Science</x:v>
      </x:c>
      <x:c r="D212" s="60" t="str">
        <x:v>Medium</x:v>
      </x:c>
      <x:c r="E212" s="60" t="str">
        <x:v>Chemistry</x:v>
      </x:c>
      <x:c r="F212" s="60" t="str">
        <x:v>A chemical reaction in which exchange of ions occurs between the reactants, is known as</x:v>
      </x:c>
      <x:c r="G212" s="60" t="str">
        <x:v>Endothermic Reaction</x:v>
      </x:c>
      <x:c r="H212" s="60" t="str">
        <x:v>Exothermic Reaction</x:v>
      </x:c>
      <x:c r="I212" s="60" t="str">
        <x:v>Double Displacement Reaction</x:v>
      </x:c>
      <x:c r="J212" s="60" t="str">
        <x:v>Displacement Reaction</x:v>
      </x:c>
      <x:c r="K212" s="60" t="str">
        <x:v>C</x:v>
      </x:c>
      <x:c r="L212" s="60" t="str">
        <x:v>Double Displacement Reaction</x:v>
      </x:c>
      <x:c r="M212" s="60" t="str">
        <x:v>The chemical property or reaction shown identifies Double Displacement Reaction.</x:v>
      </x:c>
      <x:c r="N212" s="60" t="str">
        <x:v>D4CBA/4</x:v>
      </x:c>
      <x:c r="O212" s="60" t="str">
        <x:v>Science</x:v>
      </x:c>
      <x:c r="P212" s="60" t="str">
        <x:v>Automated structural screening passed. Rewrite the explanation to teach the reasoning before publication.</x:v>
      </x:c>
    </x:row>
    <x:row r="213">
      <x:c r="A213" s="60" t="str">
        <x:v>QB-0447</x:v>
      </x:c>
      <x:c r="B213" s="62" t="n">
        <x:v>447</x:v>
      </x:c>
      <x:c r="C213" s="60" t="str">
        <x:v>Science</x:v>
      </x:c>
      <x:c r="D213" s="60" t="str">
        <x:v>Medium</x:v>
      </x:c>
      <x:c r="E213" s="60" t="str">
        <x:v>Life Processes</x:v>
      </x:c>
      <x:c r="F213" s="60" t="str">
        <x:v>The acid produced in our stomach during digestion and the base used to neutralise the excess acid during indigestion respectively are</x:v>
      </x:c>
      <x:c r="G213" s="60" t="str">
        <x:v>HCl, Mg(OH)2</x:v>
      </x:c>
      <x:c r="H213" s="60" t="str">
        <x:v>HCl, Ca(OH)2</x:v>
      </x:c>
      <x:c r="I213" s="60" t="str">
        <x:v>Amino acids, Ca(OH)2</x:v>
      </x:c>
      <x:c r="J213" s="60" t="str">
        <x:v>Lactic acid, Mg(OH)2</x:v>
      </x:c>
      <x:c r="K213" s="60" t="str">
        <x:v>C</x:v>
      </x:c>
      <x:c r="L213" s="60" t="str">
        <x:v>Amino acids, Ca(OH)2</x:v>
      </x:c>
      <x:c r="M213" s="60" t="str">
        <x:v>The described biological process supports Amino acids, Ca(OH)2.</x:v>
      </x:c>
      <x:c r="N213" s="60" t="str">
        <x:v>D4CBA/4</x:v>
      </x:c>
      <x:c r="O213" s="60" t="str">
        <x:v>Science</x:v>
      </x:c>
      <x:c r="P213" s="60" t="str">
        <x:v>Automated structural screening passed. Rewrite the explanation to teach the reasoning before publication.</x:v>
      </x:c>
    </x:row>
    <x:row r="214">
      <x:c r="A214" s="60" t="str">
        <x:v>QB-0448</x:v>
      </x:c>
      <x:c r="B214" s="62" t="n">
        <x:v>448</x:v>
      </x:c>
      <x:c r="C214" s="60" t="str">
        <x:v>Science</x:v>
      </x:c>
      <x:c r="D214" s="60" t="str">
        <x:v>Easy</x:v>
      </x:c>
      <x:c r="E214" s="60" t="str">
        <x:v>General Science</x:v>
      </x:c>
      <x:c r="F214" s="60" t="str">
        <x:v>The part of the flower which attracts insects for pollination is/are</x:v>
      </x:c>
      <x:c r="G214" s="60" t="str">
        <x:v>Stigma and style</x:v>
      </x:c>
      <x:c r="H214" s="60" t="str">
        <x:v>Sepals and petals</x:v>
      </x:c>
      <x:c r="I214" s="60" t="str">
        <x:v>Petals only</x:v>
      </x:c>
      <x:c r="J214" s="60" t="str">
        <x:v>Sepals only</x:v>
      </x:c>
      <x:c r="K214" s="60" t="str">
        <x:v>A</x:v>
      </x:c>
      <x:c r="L214" s="60" t="str">
        <x:v>Stigma and style</x:v>
      </x:c>
      <x:c r="M214" s="60" t="str">
        <x:v>The scientific principle described in “The part of the flower which attracts” supports Stigma and style.</x:v>
      </x:c>
      <x:c r="N214" s="60" t="str">
        <x:v>D4CBA/4</x:v>
      </x:c>
      <x:c r="O214" s="60" t="str">
        <x:v>Science</x:v>
      </x:c>
      <x:c r="P214" s="60" t="str">
        <x:v>Automated structural screening passed. Rewrite the explanation to teach the reasoning before publication.</x:v>
      </x:c>
    </x:row>
    <x:row r="215">
      <x:c r="A215" s="60" t="str">
        <x:v>QB-0449</x:v>
      </x:c>
      <x:c r="B215" s="62" t="n">
        <x:v>449</x:v>
      </x:c>
      <x:c r="C215" s="60" t="str">
        <x:v>Science</x:v>
      </x:c>
      <x:c r="D215" s="60" t="str">
        <x:v>Medium</x:v>
      </x:c>
      <x:c r="E215" s="60" t="str">
        <x:v>Life Processes</x:v>
      </x:c>
      <x:c r="F215" s="60" t="str">
        <x:v>Application of Abscisic acid on plants promotes</x:v>
      </x:c>
      <x:c r="G215" s="60" t="str">
        <x:v>Development of fruit s</x:v>
      </x:c>
      <x:c r="H215" s="60" t="str">
        <x:v>Wilting of leaves</x:v>
      </x:c>
      <x:c r="I215" s="60" t="str">
        <x:v>Elongation of stem</x:v>
      </x:c>
      <x:c r="J215" s="60" t="str">
        <x:v>Formation of flower s</x:v>
      </x:c>
      <x:c r="K215" s="60" t="str">
        <x:v>B</x:v>
      </x:c>
      <x:c r="L215" s="60" t="str">
        <x:v>Wilting of leaves</x:v>
      </x:c>
      <x:c r="M215" s="60" t="str">
        <x:v>The described biological process supports Wilting of leaves.</x:v>
      </x:c>
      <x:c r="N215" s="60" t="str">
        <x:v>EFGH/S</x:v>
      </x:c>
      <x:c r="O215" s="60" t="str">
        <x:v>Science</x:v>
      </x:c>
      <x:c r="P215" s="60" t="str">
        <x:v>Automated structural screening passed. Rewrite the explanation to teach the reasoning before publication.</x:v>
      </x:c>
    </x:row>
    <x:row r="216">
      <x:c r="A216" s="60" t="str">
        <x:v>QB-0450</x:v>
      </x:c>
      <x:c r="B216" s="62" t="n">
        <x:v>450</x:v>
      </x:c>
      <x:c r="C216" s="60" t="str">
        <x:v>Science</x:v>
      </x:c>
      <x:c r="D216" s="60" t="str">
        <x:v>Medium</x:v>
      </x:c>
      <x:c r="E216" s="60" t="str">
        <x:v>Chemistry</x:v>
      </x:c>
      <x:c r="F216" s="60" t="str">
        <x:v>Consider the reactions of dil. hydrochloric acid with the following metals : Aluminium, Copper, Iron, Magnesium and Zinc The correct observation is</x:v>
      </x:c>
      <x:c r="G216" s="60" t="str">
        <x:v>Most vigorous reaction with aluminium and no reaction with iron</x:v>
      </x:c>
      <x:c r="H216" s="60" t="str">
        <x:v>Most vigorous reaction with magnesium and no reaction with iron</x:v>
      </x:c>
      <x:c r="I216" s="60" t="str">
        <x:v>Most vigorous reaction with magnesium and no reaction with copper</x:v>
      </x:c>
      <x:c r="J216" s="60" t="str">
        <x:v>Most vigorous reaction with zinc and no reaction with copper</x:v>
      </x:c>
      <x:c r="K216" s="60" t="str">
        <x:v>C</x:v>
      </x:c>
      <x:c r="L216" s="60" t="str">
        <x:v>Most vigorous reaction with magnesium and no reaction with copper</x:v>
      </x:c>
      <x:c r="M216" s="60" t="str">
        <x:v>The chemical property or reaction shown identifies Most vigorous reaction with magnesium and no reaction with copper.</x:v>
      </x:c>
      <x:c r="N216" s="60" t="str">
        <x:v>EFGH/S</x:v>
      </x:c>
      <x:c r="O216" s="60" t="str">
        <x:v>Science</x:v>
      </x:c>
      <x:c r="P216" s="60" t="str">
        <x:v>Automated structural screening passed. Rewrite the explanation to teach the reasoning before publication.</x:v>
      </x:c>
    </x:row>
    <x:row r="217">
      <x:c r="A217" s="60" t="str">
        <x:v>QB-0451</x:v>
      </x:c>
      <x:c r="B217" s="62" t="n">
        <x:v>451</x:v>
      </x:c>
      <x:c r="C217" s="60" t="str">
        <x:v>Science</x:v>
      </x:c>
      <x:c r="D217" s="60" t="str">
        <x:v>Medium</x:v>
      </x:c>
      <x:c r="E217" s="60" t="str">
        <x:v>Chemistry</x:v>
      </x:c>
      <x:c r="F217" s="60" t="str">
        <x:v>From the following, select a process in which combination reaction occurs</x:v>
      </x:c>
      <x:c r="G217" s="60" t="str">
        <x:v>Black and white photography</x:v>
      </x:c>
      <x:c r="H217" s="60" t="str">
        <x:v>Burning of carbon (coal)</x:v>
      </x:c>
      <x:c r="I217" s="60" t="str">
        <x:v>Burning of methane</x:v>
      </x:c>
      <x:c r="J217" s="60" t="str">
        <x:v>Refining of co pper</x:v>
      </x:c>
      <x:c r="K217" s="60" t="str">
        <x:v>B</x:v>
      </x:c>
      <x:c r="L217" s="60" t="str">
        <x:v>Burning of carbon (coal)</x:v>
      </x:c>
      <x:c r="M217" s="60" t="str">
        <x:v>The chemical property or reaction shown identifies Burning of carbon (coal).</x:v>
      </x:c>
      <x:c r="N217" s="60" t="str">
        <x:v>EFGH/S</x:v>
      </x:c>
      <x:c r="O217" s="60" t="str">
        <x:v>Science</x:v>
      </x:c>
      <x:c r="P217" s="60" t="str">
        <x:v>Automated structural screening passed. Rewrite the explanation to teach the reasoning before publication.</x:v>
      </x:c>
    </x:row>
    <x:row r="218">
      <x:c r="A218" s="60" t="str">
        <x:v>QB-0452</x:v>
      </x:c>
      <x:c r="B218" s="62" t="n">
        <x:v>452</x:v>
      </x:c>
      <x:c r="C218" s="60" t="str">
        <x:v>Science</x:v>
      </x:c>
      <x:c r="D218" s="60" t="str">
        <x:v>Medium</x:v>
      </x:c>
      <x:c r="E218" s="60" t="str">
        <x:v>Life Processes</x:v>
      </x:c>
      <x:c r="F218" s="60" t="str">
        <x:v>In garden pea, violet colour flower is the dominant trait over white colour flower which is the recessive trait . When parent plant with violet coloured flowers (Vv) is crossed with a parent plant with white flowers, the possible percentage of occur r ence of traits in the F1 progeny would be</x:v>
      </x:c>
      <x:c r="G218" s="60" t="str">
        <x:v>100% viol et</x:v>
      </x:c>
      <x:c r="H218" s="60" t="str">
        <x:v>50% violet, 50% white</x:v>
      </x:c>
      <x:c r="I218" s="60" t="str">
        <x:v>25% violet, 75% white</x:v>
      </x:c>
      <x:c r="J218" s="60" t="str">
        <x:v>75% violet, 25% white</x:v>
      </x:c>
      <x:c r="K218" s="60" t="str">
        <x:v>B</x:v>
      </x:c>
      <x:c r="L218" s="60" t="str">
        <x:v>50% violet, 50% white</x:v>
      </x:c>
      <x:c r="M218" s="60" t="str">
        <x:v>The described biological process supports 50% violet, 50% white.</x:v>
      </x:c>
      <x:c r="N218" s="60" t="str">
        <x:v>EFGH/S</x:v>
      </x:c>
      <x:c r="O218" s="60" t="str">
        <x:v>Science</x:v>
      </x:c>
      <x:c r="P218" s="60" t="str">
        <x:v>Automated structural screening passed. Rewrite the explanation to teach the reasoning before publication.</x:v>
      </x:c>
    </x:row>
    <x:row r="219">
      <x:c r="A219" s="60" t="str">
        <x:v>QB-0453</x:v>
      </x:c>
      <x:c r="B219" s="62" t="n">
        <x:v>453</x:v>
      </x:c>
      <x:c r="C219" s="60" t="str">
        <x:v>Science</x:v>
      </x:c>
      <x:c r="D219" s="60" t="str">
        <x:v>Medium</x:v>
      </x:c>
      <x:c r="E219" s="60" t="str">
        <x:v>Chemistry</x:v>
      </x:c>
      <x:c r="F219" s="60" t="str">
        <x:v>Select exothermic processes from the following : (i) Dilution of acid (ii) Burning of natural gas (iii ) Evaporation of water (iv) Electrolysis of water</x:v>
      </x:c>
      <x:c r="G219" s="60" t="str">
        <x:v>(i) and (ii)</x:v>
      </x:c>
      <x:c r="H219" s="60" t="str">
        <x:v>(ii) and (iii)</x:v>
      </x:c>
      <x:c r="I219" s="60" t="str">
        <x:v>(iii) and (iv)</x:v>
      </x:c>
      <x:c r="J219" s="60" t="str">
        <x:v>(i) and (iv)</x:v>
      </x:c>
      <x:c r="K219" s="60" t="str">
        <x:v>A</x:v>
      </x:c>
      <x:c r="L219" s="60" t="str">
        <x:v>(i) and (ii)</x:v>
      </x:c>
      <x:c r="M219" s="60" t="str">
        <x:v>The chemical property or reaction shown identifies (i) and (ii).</x:v>
      </x:c>
      <x:c r="N219" s="60" t="str">
        <x:v>EFGH/S</x:v>
      </x:c>
      <x:c r="O219" s="60" t="str">
        <x:v>Science</x:v>
      </x:c>
      <x:c r="P219" s="60" t="str">
        <x:v>Automated structural screening passed. Rewrite the explanation to teach the reasoning before publication.</x:v>
      </x:c>
    </x:row>
    <x:row r="220">
      <x:c r="A220" s="60" t="str">
        <x:v>QB-0454</x:v>
      </x:c>
      <x:c r="B220" s="62" t="n">
        <x:v>454</x:v>
      </x:c>
      <x:c r="C220" s="60" t="str">
        <x:v>Science</x:v>
      </x:c>
      <x:c r="D220" s="60" t="str">
        <x:v>Medium</x:v>
      </x:c>
      <x:c r="E220" s="60" t="str">
        <x:v>Life Processes</x:v>
      </x:c>
      <x:c r="F220" s="60" t="str">
        <x:v>The end product of meiosis in a reproductive cell in plants is</x:v>
      </x:c>
      <x:c r="G220" s="60" t="str">
        <x:v>Zygote</x:v>
      </x:c>
      <x:c r="H220" s="60" t="str">
        <x:v>Pollen grains</x:v>
      </x:c>
      <x:c r="I220" s="60" t="str">
        <x:v>Sperms</x:v>
      </x:c>
      <x:c r="J220" s="60" t="str">
        <x:v>Egg</x:v>
      </x:c>
      <x:c r="K220" s="60" t="str">
        <x:v>B</x:v>
      </x:c>
      <x:c r="L220" s="60" t="str">
        <x:v>Pollen grains</x:v>
      </x:c>
      <x:c r="M220" s="60" t="str">
        <x:v>The described biological process supports Pollen grains.</x:v>
      </x:c>
      <x:c r="N220" s="60" t="str">
        <x:v>EFGH/S</x:v>
      </x:c>
      <x:c r="O220" s="60" t="str">
        <x:v>Science</x:v>
      </x:c>
      <x:c r="P220" s="60" t="str">
        <x:v>Automated structural screening passed. Rewrite the explanation to teach the reasoning before publication.</x:v>
      </x:c>
    </x:row>
    <x:row r="221">
      <x:c r="A221" s="60" t="str">
        <x:v>QB-0455</x:v>
      </x:c>
      <x:c r="B221" s="62" t="n">
        <x:v>455</x:v>
      </x:c>
      <x:c r="C221" s="60" t="str">
        <x:v>Science</x:v>
      </x:c>
      <x:c r="D221" s="60" t="str">
        <x:v>Medium</x:v>
      </x:c>
      <x:c r="E221" s="60" t="str">
        <x:v>Chemistry</x:v>
      </x:c>
      <x:c r="F221" s="60" t="str">
        <x:v>The most malleable metals are</x:v>
      </x:c>
      <x:c r="G221" s="60" t="str">
        <x:v>Iron and gold</x:v>
      </x:c>
      <x:c r="H221" s="60" t="str">
        <x:v>Copper and silver</x:v>
      </x:c>
      <x:c r="I221" s="60" t="str">
        <x:v>Silver and gold</x:v>
      </x:c>
      <x:c r="J221" s="60" t="str">
        <x:v>Gold and copper</x:v>
      </x:c>
      <x:c r="K221" s="60" t="str">
        <x:v>C</x:v>
      </x:c>
      <x:c r="L221" s="60" t="str">
        <x:v>Silver and gold</x:v>
      </x:c>
      <x:c r="M221" s="60" t="str">
        <x:v>The chemical property or reaction shown identifies Silver and gold.</x:v>
      </x:c>
      <x:c r="N221" s="60" t="str">
        <x:v>EFGH/S</x:v>
      </x:c>
      <x:c r="O221" s="60" t="str">
        <x:v>Science</x:v>
      </x:c>
      <x:c r="P221" s="60" t="str">
        <x:v>Automated structural screening passed. Rewrite the explanation to teach the reasoning before publication.</x:v>
      </x:c>
    </x:row>
    <x:row r="222">
      <x:c r="A222" s="60" t="str">
        <x:v>QB-0456</x:v>
      </x:c>
      <x:c r="B222" s="62" t="n">
        <x:v>456</x:v>
      </x:c>
      <x:c r="C222" s="60" t="str">
        <x:v>Science</x:v>
      </x:c>
      <x:c r="D222" s="60" t="str">
        <x:v>Easy</x:v>
      </x:c>
      <x:c r="E222" s="60" t="str">
        <x:v>General Science</x:v>
      </x:c>
      <x:c r="F222" s="60" t="str">
        <x:v>The part of the hindbrain present immediately above the medulla is</x:v>
      </x:c>
      <x:c r="G222" s="60" t="str">
        <x:v>Cerebellum</x:v>
      </x:c>
      <x:c r="H222" s="60" t="str">
        <x:v>Pons</x:v>
      </x:c>
      <x:c r="I222" s="60" t="str">
        <x:v>Cerebrum</x:v>
      </x:c>
      <x:c r="J222" s="60" t="str">
        <x:v>Spinal cord</x:v>
      </x:c>
      <x:c r="K222" s="60" t="str">
        <x:v>B</x:v>
      </x:c>
      <x:c r="L222" s="60" t="str">
        <x:v>Pons</x:v>
      </x:c>
      <x:c r="M222" s="60" t="str">
        <x:v>The scientific principle described in “The part of the hindbrain present immediately” supports Pons.</x:v>
      </x:c>
      <x:c r="N222" s="60" t="str">
        <x:v>EFGH/S</x:v>
      </x:c>
      <x:c r="O222" s="60" t="str">
        <x:v>Science</x:v>
      </x:c>
      <x:c r="P222" s="60" t="str">
        <x:v>Automated structural screening passed. Rewrite the explanation to teach the reasoning before publication.</x:v>
      </x:c>
    </x:row>
    <x:row r="223">
      <x:c r="A223" s="60" t="str">
        <x:v>QB-0457</x:v>
      </x:c>
      <x:c r="B223" s="62" t="n">
        <x:v>457</x:v>
      </x:c>
      <x:c r="C223" s="60" t="str">
        <x:v>Science</x:v>
      </x:c>
      <x:c r="D223" s="60" t="str">
        <x:v>Medium</x:v>
      </x:c>
      <x:c r="E223" s="60" t="str">
        <x:v>Life Processes</x:v>
      </x:c>
      <x:c r="F223" s="60" t="str">
        <x:v>The valves in the human heart ensure that : (i) Oxygen - rich blood flows from left atrium to left ventricle only . (ii) Deoxygenated blood flows from left atrium to left ventricle only . (iii) Oxygen - rich blood flows from right atrium to right ventricle only . (iv) Deoxygenated blood flows from right atrium to right ventricle only .</x:v>
      </x:c>
      <x:c r="G223" s="60" t="str">
        <x:v>(i) and (iii)</x:v>
      </x:c>
      <x:c r="H223" s="60" t="str">
        <x:v>(ii) and (iv)</x:v>
      </x:c>
      <x:c r="I223" s="60" t="str">
        <x:v>(i) and (iv)</x:v>
      </x:c>
      <x:c r="J223" s="60" t="str">
        <x:v>(ii) and (iii)</x:v>
      </x:c>
      <x:c r="K223" s="60" t="str">
        <x:v>C</x:v>
      </x:c>
      <x:c r="L223" s="60" t="str">
        <x:v>(i) and (iv)</x:v>
      </x:c>
      <x:c r="M223" s="60" t="str">
        <x:v>The scientific principle described in “The valves in the human heart ensure” supports (i) and (iv).</x:v>
      </x:c>
      <x:c r="N223" s="60" t="str">
        <x:v>EFGH/S</x:v>
      </x:c>
      <x:c r="O223" s="60" t="str">
        <x:v>Science</x:v>
      </x:c>
      <x:c r="P223" s="60" t="str">
        <x:v>Automated structural screening passed. Rewrite the explanation to teach the reasoning before publication.</x:v>
      </x:c>
    </x:row>
    <x:row r="224">
      <x:c r="A224" s="60" t="str">
        <x:v>QB-0458</x:v>
      </x:c>
      <x:c r="B224" s="62" t="n">
        <x:v>458</x:v>
      </x:c>
      <x:c r="C224" s="60" t="str">
        <x:v>Science</x:v>
      </x:c>
      <x:c r="D224" s="60" t="str">
        <x:v>Easy</x:v>
      </x:c>
      <x:c r="E224" s="60" t="str">
        <x:v>General Science</x:v>
      </x:c>
      <x:c r="F224" s="60" t="str">
        <x:v>Breakdown of proteins in the stomach takes place by the enzyme</x:v>
      </x:c>
      <x:c r="G224" s="60" t="str">
        <x:v>Trypsin</x:v>
      </x:c>
      <x:c r="H224" s="60" t="str">
        <x:v>Lipase</x:v>
      </x:c>
      <x:c r="I224" s="60" t="str">
        <x:v>Salivary Amylase</x:v>
      </x:c>
      <x:c r="J224" s="60" t="str">
        <x:v>Pepsin</x:v>
      </x:c>
      <x:c r="K224" s="60" t="str">
        <x:v>D</x:v>
      </x:c>
      <x:c r="L224" s="60" t="str">
        <x:v>Pepsin</x:v>
      </x:c>
      <x:c r="M224" s="60" t="str">
        <x:v>The described biological process supports Pepsin.</x:v>
      </x:c>
      <x:c r="N224" s="60" t="str">
        <x:v>EFGH/S</x:v>
      </x:c>
      <x:c r="O224" s="60" t="str">
        <x:v>Science</x:v>
      </x:c>
      <x:c r="P224" s="60" t="str">
        <x:v>Automated structural screening passed. Rewrite the explanation to teach the reasoning before publication.</x:v>
      </x:c>
    </x:row>
    <x:row r="225">
      <x:c r="A225" s="60" t="str">
        <x:v>QB-0459</x:v>
      </x:c>
      <x:c r="B225" s="62" t="n">
        <x:v>459</x:v>
      </x:c>
      <x:c r="C225" s="60" t="str">
        <x:v>Science</x:v>
      </x:c>
      <x:c r="D225" s="60" t="str">
        <x:v>Medium</x:v>
      </x:c>
      <x:c r="E225" s="60" t="str">
        <x:v>General Science</x:v>
      </x:c>
      <x:c r="F225" s="60" t="str">
        <x:v>Consider the following cases : (i) CaSO 4 + Mg (ii) CuSO 4 + Ca (iii) ZnSO 4 + Fe (iv) FeSO 4 + Zn The cases in which new products will form , are</x:v>
      </x:c>
      <x:c r="G225" s="60" t="str">
        <x:v>(i) and (ii)</x:v>
      </x:c>
      <x:c r="H225" s="60" t="str">
        <x:v>(ii) and (i v )</x:v>
      </x:c>
      <x:c r="I225" s="60" t="str">
        <x:v>(iii) and (i v )</x:v>
      </x:c>
      <x:c r="J225" s="60" t="str">
        <x:v>(ii) and (iii)</x:v>
      </x:c>
      <x:c r="K225" s="60" t="str">
        <x:v>B</x:v>
      </x:c>
      <x:c r="L225" s="60" t="str">
        <x:v>(ii) and (i v )</x:v>
      </x:c>
      <x:c r="M225" s="60" t="str">
        <x:v>The scientific principle described in “Consider the following cases i CaSO 4” supports (ii) and (i v ).</x:v>
      </x:c>
      <x:c r="N225" s="60" t="str">
        <x:v>EFGH/S</x:v>
      </x:c>
      <x:c r="O225" s="60" t="str">
        <x:v>Science</x:v>
      </x:c>
      <x:c r="P225" s="60" t="str">
        <x:v>Automated structural screening passed. Rewrite the explanation to teach the reasoning before publication.</x:v>
      </x:c>
    </x:row>
    <x:row r="226">
      <x:c r="A226" s="60" t="str">
        <x:v>QB-0460</x:v>
      </x:c>
      <x:c r="B226" s="62" t="n">
        <x:v>460</x:v>
      </x:c>
      <x:c r="C226" s="60" t="str">
        <x:v>Science</x:v>
      </x:c>
      <x:c r="D226" s="60" t="str">
        <x:v>Easy</x:v>
      </x:c>
      <x:c r="E226" s="60" t="str">
        <x:v>General Science</x:v>
      </x:c>
      <x:c r="F226" s="60" t="str">
        <x:v>The n umber of single and double bonds present in a molecule of benzene (C 6 H 6 ) respectively, are</x:v>
      </x:c>
      <x:c r="G226" s="60" t="str">
        <x:v>3 and 3</x:v>
      </x:c>
      <x:c r="H226" s="60" t="str">
        <x:v>3 and 6</x:v>
      </x:c>
      <x:c r="I226" s="60" t="str">
        <x:v>6 and 9</x:v>
      </x:c>
      <x:c r="J226" s="60" t="str">
        <x:v>3 and 9</x:v>
      </x:c>
      <x:c r="K226" s="60" t="str">
        <x:v>D</x:v>
      </x:c>
      <x:c r="L226" s="60" t="str">
        <x:v>3 and 9</x:v>
      </x:c>
      <x:c r="M226" s="60" t="str">
        <x:v>The scientific principle described in “The n umber of single and double” supports 3 and 9.</x:v>
      </x:c>
      <x:c r="N226" s="60" t="str">
        <x:v>EFGH/S</x:v>
      </x:c>
      <x:c r="O226" s="60" t="str">
        <x:v>Science</x:v>
      </x:c>
      <x:c r="P226" s="60" t="str">
        <x:v>Automated structural screening passed. Rewrite the explanation to teach the reasoning before publication.</x:v>
      </x:c>
    </x:row>
    <x:row r="227">
      <x:c r="A227" s="60" t="str">
        <x:v>QB-0462</x:v>
      </x:c>
      <x:c r="B227" s="62" t="n">
        <x:v>462</x:v>
      </x:c>
      <x:c r="C227" s="60" t="str">
        <x:v>Science</x:v>
      </x:c>
      <x:c r="D227" s="60" t="str">
        <x:v>Easy</x:v>
      </x:c>
      <x:c r="E227" s="60" t="str">
        <x:v>Environment</x:v>
      </x:c>
      <x:c r="F227" s="60" t="str">
        <x:v>Which one of the following statements is incorrect about the effect on our environment as a result of our activities?</x:v>
      </x:c>
      <x:c r="G227" s="60" t="str">
        <x:v>Improvement in our lifestyle has resulted in greater amounts of waste.</x:v>
      </x:c>
      <x:c r="H227" s="60" t="str">
        <x:v>Packaging of materials has resulted in lesser amount of non - biodegradable waste.</x:v>
      </x:c>
      <x:c r="I227" s="60" t="str">
        <x:v>Use of disposable cups/kulhads results in loss of fertile topsoil.</x:v>
      </x:c>
      <x:c r="J227" s="60" t="str">
        <x:v>Harmful wastes that are non - biodegradable persist in the environment for a long time.</x:v>
      </x:c>
      <x:c r="K227" s="60" t="str">
        <x:v>B</x:v>
      </x:c>
      <x:c r="L227" s="60" t="str">
        <x:v>Packaging of materials has resulted in lesser amount of non - biodegradable waste.</x:v>
      </x:c>
      <x:c r="M227" s="60" t="str">
        <x:v>The scientific principle described in “Which one of the following statements is” supports Packaging of materials has resulted in lesser amount of non - biodegradable waste..</x:v>
      </x:c>
      <x:c r="N227" s="60" t="str">
        <x:v>EFGH/S</x:v>
      </x:c>
      <x:c r="O227" s="60" t="str">
        <x:v>Science</x:v>
      </x:c>
      <x:c r="P227" s="60" t="str">
        <x:v>Automated structural screening passed. Rewrite the explanation to teach the reasoning before publication.</x:v>
      </x:c>
    </x:row>
    <x:row r="228">
      <x:c r="A228" s="60" t="str">
        <x:v>QB-0463</x:v>
      </x:c>
      <x:c r="B228" s="62" t="n">
        <x:v>463</x:v>
      </x:c>
      <x:c r="C228" s="60" t="str">
        <x:v>Science</x:v>
      </x:c>
      <x:c r="D228" s="60" t="str">
        <x:v>Easy</x:v>
      </x:c>
      <x:c r="E228" s="60" t="str">
        <x:v>General Science</x:v>
      </x:c>
      <x:c r="F228" s="60" t="str">
        <x:v>Oxides of aluminium and zinc are</x:v>
      </x:c>
      <x:c r="G228" s="60" t="str">
        <x:v>Acidic</x:v>
      </x:c>
      <x:c r="H228" s="60" t="str">
        <x:v>A mphoteric</x:v>
      </x:c>
      <x:c r="I228" s="60" t="str">
        <x:v>Basic</x:v>
      </x:c>
      <x:c r="J228" s="60" t="str">
        <x:v>Neutral</x:v>
      </x:c>
      <x:c r="K228" s="60" t="str">
        <x:v>B</x:v>
      </x:c>
      <x:c r="L228" s="60" t="str">
        <x:v>A mphoteric</x:v>
      </x:c>
      <x:c r="M228" s="60" t="str">
        <x:v>The chemical property or reaction shown identifies A mphoteric.</x:v>
      </x:c>
      <x:c r="N228" s="60" t="str">
        <x:v>EFGH/S</x:v>
      </x:c>
      <x:c r="O228" s="60" t="str">
        <x:v>Science</x:v>
      </x:c>
      <x:c r="P228" s="60" t="str">
        <x:v>Automated structural screening passed. Rewrite the explanation to teach the reasoning before publication.</x:v>
      </x:c>
    </x:row>
    <x:row r="229">
      <x:c r="A229" s="60" t="str">
        <x:v>QB-0464</x:v>
      </x:c>
      <x:c r="B229" s="62" t="n">
        <x:v>464</x:v>
      </x:c>
      <x:c r="C229" s="60" t="str">
        <x:v>Science</x:v>
      </x:c>
      <x:c r="D229" s="60" t="str">
        <x:v>Medium</x:v>
      </x:c>
      <x:c r="E229" s="60" t="str">
        <x:v>Chemistry</x:v>
      </x:c>
      <x:c r="F229" s="60" t="str">
        <x:v>Select from the following decomposition reactions in which the source of energy for decomposition is heat : (i) CaCO 3 ⎯→ CaO + CO 2 (ii) 2H 2 O ⎯ → 2H 2 + O 2 (iii) 2AgBr ⎯→ 2Ag + Br 2 (iv) 2FeSO 4 ⎯ → Fe 2 O 3 + SO 2 + SO 3</x:v>
      </x:c>
      <x:c r="G229" s="60" t="str">
        <x:v>(i) and (ii)</x:v>
      </x:c>
      <x:c r="H229" s="60" t="str">
        <x:v>(ii) and (iii)</x:v>
      </x:c>
      <x:c r="I229" s="60" t="str">
        <x:v>(iii) and (iv)</x:v>
      </x:c>
      <x:c r="J229" s="60" t="str">
        <x:v>(i) and (iv)</x:v>
      </x:c>
      <x:c r="K229" s="60" t="str">
        <x:v>D</x:v>
      </x:c>
      <x:c r="L229" s="60" t="str">
        <x:v>(i) and (iv)</x:v>
      </x:c>
      <x:c r="M229" s="60" t="str">
        <x:v>The chemical property or reaction shown identifies (i) and (iv).</x:v>
      </x:c>
      <x:c r="N229" s="60" t="str">
        <x:v>EFGH/S</x:v>
      </x:c>
      <x:c r="O229" s="60" t="str">
        <x:v>Science</x:v>
      </x:c>
      <x:c r="P229" s="60" t="str">
        <x:v>Automated structural screening passed. Rewrite the explanation to teach the reasoning before publication.</x:v>
      </x:c>
    </x:row>
    <x:row r="230">
      <x:c r="A230" s="60" t="str">
        <x:v>QB-0465</x:v>
      </x:c>
      <x:c r="B230" s="62" t="n">
        <x:v>465</x:v>
      </x:c>
      <x:c r="C230" s="60" t="str">
        <x:v>Science</x:v>
      </x:c>
      <x:c r="D230" s="60" t="str">
        <x:v>Medium</x:v>
      </x:c>
      <x:c r="E230" s="60" t="str">
        <x:v>Chemistry</x:v>
      </x:c>
      <x:c r="F230" s="60" t="str">
        <x:v>A hydrocarbon which is different from the other three is</x:v>
      </x:c>
      <x:c r="G230" s="60" t="str">
        <x:v>C 7 H 16</x:v>
      </x:c>
      <x:c r="H230" s="60" t="str">
        <x:v>C 5 H 10</x:v>
      </x:c>
      <x:c r="I230" s="60" t="str">
        <x:v>C 2 H 6</x:v>
      </x:c>
      <x:c r="J230" s="60" t="str">
        <x:v>CH 4</x:v>
      </x:c>
      <x:c r="K230" s="60" t="str">
        <x:v>B</x:v>
      </x:c>
      <x:c r="L230" s="60" t="str">
        <x:v>C 5 H 10</x:v>
      </x:c>
      <x:c r="M230" s="60" t="str">
        <x:v>The scientific principle described in “A hydrocarbon which is different from the” supports C 5 H 10.</x:v>
      </x:c>
      <x:c r="N230" s="60" t="str">
        <x:v>EFGH/S</x:v>
      </x:c>
      <x:c r="O230" s="60" t="str">
        <x:v>Science</x:v>
      </x:c>
      <x:c r="P230" s="60" t="str">
        <x:v>Automated structural screening passed. Rewrite the explanation to teach the reasoning before publication.</x:v>
      </x:c>
    </x:row>
    <x:row r="231">
      <x:c r="A231" s="60" t="str">
        <x:v>QB-0466</x:v>
      </x:c>
      <x:c r="B231" s="62" t="n">
        <x:v>466</x:v>
      </x:c>
      <x:c r="C231" s="60" t="str">
        <x:v>Science</x:v>
      </x:c>
      <x:c r="D231" s="60" t="str">
        <x:v>Medium</x:v>
      </x:c>
      <x:c r="E231" s="60" t="str">
        <x:v>Chemistry</x:v>
      </x:c>
      <x:c r="F231" s="60" t="str">
        <x:v>Consider the following cases/reactions : ( i ) CuSO 4 + Al → ( ii ) CaSO 4 + Mg → ( iii ) FeSO 4 + Pb → ( iv ) ZnSO 4 + Ca → The cases/reactions in which new products will form are</x:v>
      </x:c>
      <x:c r="G231" s="60" t="str">
        <x:v>(i) and (iv)</x:v>
      </x:c>
      <x:c r="H231" s="60" t="str">
        <x:v>(i) and (ii)</x:v>
      </x:c>
      <x:c r="I231" s="60" t="str">
        <x:v>(ii) and (iii)</x:v>
      </x:c>
      <x:c r="J231" s="60" t="str">
        <x:v>(i)</x:v>
      </x:c>
      <x:c r="K231" s="60" t="str">
        <x:v>A</x:v>
      </x:c>
      <x:c r="L231" s="60" t="str">
        <x:v>(i) and (iv)</x:v>
      </x:c>
      <x:c r="M231" s="60" t="str">
        <x:v>The chemical property or reaction shown identifies (i) and (iv).</x:v>
      </x:c>
      <x:c r="N231" s="60" t="str">
        <x:v>EFGH/S</x:v>
      </x:c>
      <x:c r="O231" s="60" t="str">
        <x:v>Science</x:v>
      </x:c>
      <x:c r="P231" s="60" t="str">
        <x:v>Automated structural screening passed. Rewrite the explanation to teach the reasoning before publication.</x:v>
      </x:c>
    </x:row>
    <x:row r="232">
      <x:c r="A232" s="60" t="str">
        <x:v>QB-0467</x:v>
      </x:c>
      <x:c r="B232" s="62" t="n">
        <x:v>467</x:v>
      </x:c>
      <x:c r="C232" s="60" t="str">
        <x:v>Science</x:v>
      </x:c>
      <x:c r="D232" s="60" t="str">
        <x:v>Medium</x:v>
      </x:c>
      <x:c r="E232" s="60" t="str">
        <x:v>Chemistry</x:v>
      </x:c>
      <x:c r="F232" s="60" t="str">
        <x:v>In which one of the following decomposition reaction s energy is released?</x:v>
      </x:c>
      <x:c r="G232" s="60" t="str">
        <x:v>Electrolysis of water</x:v>
      </x:c>
      <x:c r="H232" s="60" t="str">
        <x:v>Decomposition of silver chloride</x:v>
      </x:c>
      <x:c r="I232" s="60" t="str">
        <x:v>Decomposition of vegetable matter into compost</x:v>
      </x:c>
      <x:c r="J232" s="60" t="str">
        <x:v>Decomposition of lead nitrate</x:v>
      </x:c>
      <x:c r="K232" s="60" t="str">
        <x:v>C</x:v>
      </x:c>
      <x:c r="L232" s="60" t="str">
        <x:v>Decomposition of vegetable matter into compost</x:v>
      </x:c>
      <x:c r="M232" s="60" t="str">
        <x:v>The chemical property or reaction shown identifies Decomposition of vegetable matter into compost.</x:v>
      </x:c>
      <x:c r="N232" s="60" t="str">
        <x:v>EFGH/S</x:v>
      </x:c>
      <x:c r="O232" s="60" t="str">
        <x:v>Science</x:v>
      </x:c>
      <x:c r="P232" s="60" t="str">
        <x:v>Automated structural screening passed. Rewrite the explanation to teach the reasoning before publication.</x:v>
      </x:c>
    </x:row>
    <x:row r="233">
      <x:c r="A233" s="60" t="str">
        <x:v>QB-0468</x:v>
      </x:c>
      <x:c r="B233" s="62" t="n">
        <x:v>468</x:v>
      </x:c>
      <x:c r="C233" s="60" t="str">
        <x:v>Science</x:v>
      </x:c>
      <x:c r="D233" s="60" t="str">
        <x:v>Medium</x:v>
      </x:c>
      <x:c r="E233" s="60" t="str">
        <x:v>Chemistry</x:v>
      </x:c>
      <x:c r="F233" s="60" t="str">
        <x:v>Juice of tamarind turns blue litmus to red. It is because of the presence of an acid called</x:v>
      </x:c>
      <x:c r="G233" s="60" t="str">
        <x:v>oxalic acid</x:v>
      </x:c>
      <x:c r="H233" s="60" t="str">
        <x:v>lactic acid</x:v>
      </x:c>
      <x:c r="I233" s="60" t="str">
        <x:v>methanoic acid</x:v>
      </x:c>
      <x:c r="J233" s="60" t="str">
        <x:v>tartaric acid</x:v>
      </x:c>
      <x:c r="K233" s="60" t="str">
        <x:v>D</x:v>
      </x:c>
      <x:c r="L233" s="60" t="str">
        <x:v>tartaric acid</x:v>
      </x:c>
      <x:c r="M233" s="60" t="str">
        <x:v>The chemical property or reaction shown identifies tartaric acid.</x:v>
      </x:c>
      <x:c r="N233" s="60" t="str">
        <x:v>EFGH/S</x:v>
      </x:c>
      <x:c r="O233" s="60" t="str">
        <x:v>Science</x:v>
      </x:c>
      <x:c r="P233" s="60" t="str">
        <x:v>Automated structural screening passed. Rewrite the explanation to teach the reasoning before publication.</x:v>
      </x:c>
    </x:row>
    <x:row r="234">
      <x:c r="A234" s="60" t="str">
        <x:v>QB-0469</x:v>
      </x:c>
      <x:c r="B234" s="62" t="n">
        <x:v>469</x:v>
      </x:c>
      <x:c r="C234" s="60" t="str">
        <x:v>Science</x:v>
      </x:c>
      <x:c r="D234" s="60" t="str">
        <x:v>Medium</x:v>
      </x:c>
      <x:c r="E234" s="60" t="str">
        <x:v>Chemistry</x:v>
      </x:c>
      <x:c r="F234" s="60" t="str">
        <x:v>One formula unit of which one of the following salts has seven molecules of water of crystalli s ation?</x:v>
      </x:c>
      <x:c r="G234" s="60" t="str">
        <x:v>CaSO 4</x:v>
      </x:c>
      <x:c r="H234" s="60" t="str">
        <x:v>CuSO 4</x:v>
      </x:c>
      <x:c r="I234" s="60" t="str">
        <x:v>FeSO 4</x:v>
      </x:c>
      <x:c r="J234" s="60" t="str">
        <x:v>Na 2 CO 3</x:v>
      </x:c>
      <x:c r="K234" s="60" t="str">
        <x:v>C</x:v>
      </x:c>
      <x:c r="L234" s="60" t="str">
        <x:v>FeSO 4</x:v>
      </x:c>
      <x:c r="M234" s="60" t="str">
        <x:v>The scientific principle described in “One formula unit of which one of” supports FeSO 4.</x:v>
      </x:c>
      <x:c r="N234" s="60" t="str">
        <x:v>EFGH/S</x:v>
      </x:c>
      <x:c r="O234" s="60" t="str">
        <x:v>Science</x:v>
      </x:c>
      <x:c r="P234" s="60" t="str">
        <x:v>Automated structural screening passed. Rewrite the explanation to teach the reasoning before publication.</x:v>
      </x:c>
    </x:row>
    <x:row r="235">
      <x:c r="A235" s="60" t="str">
        <x:v>QB-0470</x:v>
      </x:c>
      <x:c r="B235" s="62" t="n">
        <x:v>470</x:v>
      </x:c>
      <x:c r="C235" s="60" t="str">
        <x:v>Science</x:v>
      </x:c>
      <x:c r="D235" s="60" t="str">
        <x:v>Medium</x:v>
      </x:c>
      <x:c r="E235" s="60" t="str">
        <x:v>Life Processes</x:v>
      </x:c>
      <x:c r="F235" s="60" t="str">
        <x:v>Select the correct statement s from the following about the human heart : ( i ) Right atrium receives oxygenated blood fr o m lungs through pulmonary artery. (ii ) Right atrium receives deoxygenated blood through vena cava from upper and lower body. (iii ) Left atrium transfers oxygenated blood to left ventricle which sends it to various parts of the body. (iv) Left atrium transfers oxygenated blood to aorta which sends it to various parts of the body.</x:v>
      </x:c>
      <x:c r="G235" s="60" t="str">
        <x:v>(i) and (ii)</x:v>
      </x:c>
      <x:c r="H235" s="60" t="str">
        <x:v>(ii) and (iii)</x:v>
      </x:c>
      <x:c r="I235" s="60" t="str">
        <x:v>(iii) and (iv)</x:v>
      </x:c>
      <x:c r="J235" s="60" t="str">
        <x:v>(i) and (iv)</x:v>
      </x:c>
      <x:c r="K235" s="60" t="str">
        <x:v>B</x:v>
      </x:c>
      <x:c r="L235" s="60" t="str">
        <x:v>(ii) and (iii)</x:v>
      </x:c>
      <x:c r="M235" s="60" t="str">
        <x:v>The scientific principle described in “Select the correct statement s from the” supports (ii) and (iii).</x:v>
      </x:c>
      <x:c r="N235" s="60" t="str">
        <x:v>EFGH/S</x:v>
      </x:c>
      <x:c r="O235" s="60" t="str">
        <x:v>Science</x:v>
      </x:c>
      <x:c r="P235" s="60" t="str">
        <x:v>Automated structural screening passed. Rewrite the explanation to teach the reasoning before publication.</x:v>
      </x:c>
    </x:row>
    <x:row r="236">
      <x:c r="A236" s="60" t="str">
        <x:v>QB-0471</x:v>
      </x:c>
      <x:c r="B236" s="62" t="n">
        <x:v>471</x:v>
      </x:c>
      <x:c r="C236" s="60" t="str">
        <x:v>Science</x:v>
      </x:c>
      <x:c r="D236" s="60" t="str">
        <x:v>Medium</x:v>
      </x:c>
      <x:c r="E236" s="60" t="str">
        <x:v>Chemistry</x:v>
      </x:c>
      <x:c r="F236" s="60" t="str">
        <x:v>The chemical reaction of solid calcium oxide with water is</x:v>
      </x:c>
      <x:c r="G236" s="60" t="str">
        <x:v>exothermic and the pH of the solution formed is less than</x:v>
      </x:c>
      <x:c r="H236" s="60" t="str">
        <x:v>endothermic and the pH of the solution formed is less than</x:v>
      </x:c>
      <x:c r="I236" s="60" t="str">
        <x:v>endothermic and the pH of the solution formed is more than</x:v>
      </x:c>
      <x:c r="J236" s="60" t="str">
        <x:v>exothermic and the pH of the solution formed is more than</x:v>
      </x:c>
      <x:c r="K236" s="60" t="str">
        <x:v>D</x:v>
      </x:c>
      <x:c r="L236" s="60" t="str">
        <x:v>exothermic and the pH of the solution formed is more than</x:v>
      </x:c>
      <x:c r="M236" s="60" t="str">
        <x:v>The chemical property or reaction shown identifies exothermic and the pH of the solution formed is more than.</x:v>
      </x:c>
      <x:c r="N236" s="60" t="str">
        <x:v>EFGH/S</x:v>
      </x:c>
      <x:c r="O236" s="60" t="str">
        <x:v>Science</x:v>
      </x:c>
      <x:c r="P236" s="60" t="str">
        <x:v>Automated structural screening passed. Rewrite the explanation to teach the reasoning before publication.</x:v>
      </x:c>
    </x:row>
    <x:row r="237">
      <x:c r="A237" s="60" t="str">
        <x:v>QB-0472</x:v>
      </x:c>
      <x:c r="B237" s="62" t="n">
        <x:v>472</x:v>
      </x:c>
      <x:c r="C237" s="60" t="str">
        <x:v>Science</x:v>
      </x:c>
      <x:c r="D237" s="60" t="str">
        <x:v>Medium</x:v>
      </x:c>
      <x:c r="E237" s="60" t="str">
        <x:v>Chemistry</x:v>
      </x:c>
      <x:c r="F237" s="60" t="str">
        <x:v>Which one of the following oxides reacts with HCl as well as NaOH to form corresponding salt and water?</x:v>
      </x:c>
      <x:c r="G237" s="60" t="str">
        <x:v>CaO</x:v>
      </x:c>
      <x:c r="H237" s="60" t="str">
        <x:v>Al 2 O 3</x:v>
      </x:c>
      <x:c r="I237" s="60" t="str">
        <x:v>Fe 3 O 4</x:v>
      </x:c>
      <x:c r="J237" s="60" t="str">
        <x:v>K 2 O</x:v>
      </x:c>
      <x:c r="K237" s="60" t="str">
        <x:v>B</x:v>
      </x:c>
      <x:c r="L237" s="60" t="str">
        <x:v>Al 2 O 3</x:v>
      </x:c>
      <x:c r="M237" s="60" t="str">
        <x:v>The chemical property or reaction shown identifies Al 2 O 3.</x:v>
      </x:c>
      <x:c r="N237" s="60" t="str">
        <x:v>EFGH/S</x:v>
      </x:c>
      <x:c r="O237" s="60" t="str">
        <x:v>Science</x:v>
      </x:c>
      <x:c r="P237" s="60" t="str">
        <x:v>Automated structural screening passed. Rewrite the explanation to teach the reasoning before publication.</x:v>
      </x:c>
    </x:row>
    <x:row r="238">
      <x:c r="A238" s="60" t="str">
        <x:v>QB-0475</x:v>
      </x:c>
      <x:c r="B238" s="62" t="n">
        <x:v>475</x:v>
      </x:c>
      <x:c r="C238" s="60" t="str">
        <x:v>Science</x:v>
      </x:c>
      <x:c r="D238" s="60" t="str">
        <x:v>Easy</x:v>
      </x:c>
      <x:c r="E238" s="60" t="str">
        <x:v>Environment</x:v>
      </x:c>
      <x:c r="F238" s="60" t="str">
        <x:v>Which one of the following gets biomagnified at different levels in a food chain?</x:v>
      </x:c>
      <x:c r="G238" s="60" t="str">
        <x:v>Carbon monoxide</x:v>
      </x:c>
      <x:c r="H238" s="60" t="str">
        <x:v>CFC's</x:v>
      </x:c>
      <x:c r="I238" s="60" t="str">
        <x:v>DDT</x:v>
      </x:c>
      <x:c r="J238" s="60" t="str">
        <x:v>Manure</x:v>
      </x:c>
      <x:c r="K238" s="60" t="str">
        <x:v>C</x:v>
      </x:c>
      <x:c r="L238" s="60" t="str">
        <x:v>DDT</x:v>
      </x:c>
      <x:c r="M238" s="60" t="str">
        <x:v>Energy flow and nutrient cycling make DDT correct.</x:v>
      </x:c>
      <x:c r="N238" s="60" t="str">
        <x:v>EFHG4</x:v>
      </x:c>
      <x:c r="O238" s="60" t="str">
        <x:v>Science</x:v>
      </x:c>
      <x:c r="P238" s="60" t="str">
        <x:v>Automated structural screening passed. Rewrite the explanation to teach the reasoning before publication.</x:v>
      </x:c>
    </x:row>
    <x:row r="239">
      <x:c r="A239" s="60" t="str">
        <x:v>QB-0481</x:v>
      </x:c>
      <x:c r="B239" s="62" t="n">
        <x:v>481</x:v>
      </x:c>
      <x:c r="C239" s="60" t="str">
        <x:v>Science</x:v>
      </x:c>
      <x:c r="D239" s="60" t="str">
        <x:v>Medium</x:v>
      </x:c>
      <x:c r="E239" s="60" t="str">
        <x:v>Life Processes</x:v>
      </x:c>
      <x:c r="F239" s="60" t="str">
        <x:v>Select TRUE statements about lymph from the following : A. B. C. D. Lymph vessels carry lymph through the body and finally open into larger arteries. Lymph contains some amount of plasma, proteins and blood cells. Lymph contains some amount of plasma, proteins and red blood cells. Lymph vessels carry lymph through the body and finally open into larger veins. The true statements are</x:v>
      </x:c>
      <x:c r="G239" s="60" t="str">
        <x:v>A and B</x:v>
      </x:c>
      <x:c r="H239" s="60" t="str">
        <x:v>Band D</x:v>
      </x:c>
      <x:c r="I239" s="60" t="str">
        <x:v>A and C</x:v>
      </x:c>
      <x:c r="J239" s="60" t="str">
        <x:v>C and D Plants like rose and banana have lost the capacity to produce</x:v>
      </x:c>
      <x:c r="K239" s="60" t="str">
        <x:v>C</x:v>
      </x:c>
      <x:c r="L239" s="60" t="str">
        <x:v>A and C</x:v>
      </x:c>
      <x:c r="M239" s="60" t="str">
        <x:v>The chemical property or reaction shown identifies A and C.</x:v>
      </x:c>
      <x:c r="N239" s="60" t="str">
        <x:v>EFHG4</x:v>
      </x:c>
      <x:c r="O239" s="60" t="str">
        <x:v>Science</x:v>
      </x:c>
      <x:c r="P239" s="60" t="str">
        <x:v>Automated structural screening passed. Rewrite the explanation to teach the reasoning before publication.</x:v>
      </x:c>
    </x:row>
    <x:row r="240">
      <x:c r="A240" s="60" t="str">
        <x:v>QB-0483</x:v>
      </x:c>
      <x:c r="B240" s="62" t="n">
        <x:v>483</x:v>
      </x:c>
      <x:c r="C240" s="60" t="str">
        <x:v>Science</x:v>
      </x:c>
      <x:c r="D240" s="60" t="str">
        <x:v>Easy</x:v>
      </x:c>
      <x:c r="E240" s="60" t="str">
        <x:v>General Science</x:v>
      </x:c>
      <x:c r="F240" s="60" t="str">
        <x:v>Select from the following a statement which is not true about burning of magnesium ribbon in air</x:v>
      </x:c>
      <x:c r="G240" s="60" t="str">
        <x:v>It burns with a dazzling white flame.</x:v>
      </x:c>
      <x:c r="H240" s="60" t="str">
        <x:v>A white powder is formed on burning.</x:v>
      </x:c>
      <x:c r="I240" s="60" t="str">
        <x:v>It is an endothermic reaction.</x:v>
      </x:c>
      <x:c r="J240" s="60" t="str">
        <x:v>It is an example of a combination reaction. The water of crystallization is present in</x:v>
      </x:c>
      <x:c r="K240" s="60" t="str">
        <x:v>A</x:v>
      </x:c>
      <x:c r="L240" s="60" t="str">
        <x:v>It burns with a dazzling white flame.</x:v>
      </x:c>
      <x:c r="M240" s="60" t="str">
        <x:v>The scientific principle described in “Select from the following a statement which” supports It burns with a dazzling white flame..</x:v>
      </x:c>
      <x:c r="N240" s="60" t="str">
        <x:v>GF6HE</x:v>
      </x:c>
      <x:c r="O240" s="60" t="str">
        <x:v>Science</x:v>
      </x:c>
      <x:c r="P240" s="60" t="str">
        <x:v>Automated structural screening passed. Rewrite the explanation to teach the reasoning before publication.</x:v>
      </x:c>
    </x:row>
    <x:row r="241">
      <x:c r="A241" s="60" t="str">
        <x:v>QB-0484</x:v>
      </x:c>
      <x:c r="B241" s="62" t="n">
        <x:v>484</x:v>
      </x:c>
      <x:c r="C241" s="60" t="str">
        <x:v>Science</x:v>
      </x:c>
      <x:c r="D241" s="60" t="str">
        <x:v>Medium</x:v>
      </x:c>
      <x:c r="E241" s="60" t="str">
        <x:v>Life Processes</x:v>
      </x:c>
      <x:c r="F241" s="60" t="str">
        <x:v>Bryophyllum produces new plant through</x:v>
      </x:c>
      <x:c r="G241" s="60" t="str">
        <x:v>Apical buds formed on the tip of the plant</x:v>
      </x:c>
      <x:c r="H241" s="60" t="str">
        <x:v>Vegetative buds produced in the notches of the leaf</x:v>
      </x:c>
      <x:c r="I241" s="60" t="str">
        <x:v>Flowers produced in the notches of the branches</x:v>
      </x:c>
      <x:c r="J241" s="60" t="str">
        <x:v>Fruits formed on the branches of the plant</x:v>
      </x:c>
      <x:c r="K241" s="60" t="str">
        <x:v>B</x:v>
      </x:c>
      <x:c r="L241" s="60" t="str">
        <x:v>Vegetative buds produced in the notches of the leaf</x:v>
      </x:c>
      <x:c r="M241" s="60" t="str">
        <x:v>The described biological process supports Vegetative buds produced in the notches of the leaf.</x:v>
      </x:c>
      <x:c r="N241" s="60" t="str">
        <x:v>GHF2E</x:v>
      </x:c>
      <x:c r="O241" s="60" t="str">
        <x:v>Science</x:v>
      </x:c>
      <x:c r="P241" s="60" t="str">
        <x:v>Automated structural screening passed. Rewrite the explanation to teach the reasoning before publication.</x:v>
      </x:c>
    </x:row>
    <x:row r="242">
      <x:c r="A242" s="60" t="str">
        <x:v>QB-0485</x:v>
      </x:c>
      <x:c r="B242" s="62" t="n">
        <x:v>485</x:v>
      </x:c>
      <x:c r="C242" s="60" t="str">
        <x:v>Science</x:v>
      </x:c>
      <x:c r="D242" s="60" t="str">
        <x:v>Easy</x:v>
      </x:c>
      <x:c r="E242" s="60" t="str">
        <x:v>Environment</x:v>
      </x:c>
      <x:c r="F242" s="60" t="str">
        <x:v>Identify from the following a group containing all non -biodegradable substances.</x:v>
      </x:c>
      <x:c r="G242" s="60" t="str">
        <x:v>Leather, Glass, Plastic</x:v>
      </x:c>
      <x:c r="H242" s="60" t="str">
        <x:v>Cotton, Wood, Nylon</x:v>
      </x:c>
      <x:c r="I242" s="60" t="str">
        <x:v>DDT, Polyester, Glass</x:v>
      </x:c>
      <x:c r="J242" s="60" t="str">
        <x:v>Leather, Silk, Wool</x:v>
      </x:c>
      <x:c r="K242" s="60" t="str">
        <x:v>C</x:v>
      </x:c>
      <x:c r="L242" s="60" t="str">
        <x:v>DDT, Polyester, Glass</x:v>
      </x:c>
      <x:c r="M242" s="60" t="str">
        <x:v>The scientific principle described in “Identify from the following a group containing” supports DDT, Polyester, Glass.</x:v>
      </x:c>
      <x:c r="N242" s="60" t="str">
        <x:v>GHF2E</x:v>
      </x:c>
      <x:c r="O242" s="60" t="str">
        <x:v>Science</x:v>
      </x:c>
      <x:c r="P242" s="60" t="str">
        <x:v>Automated structural screening passed. Rewrite the explanation to teach the reasoning before publication.</x:v>
      </x:c>
    </x:row>
    <x:row r="243">
      <x:c r="A243" s="60" t="str">
        <x:v>QB-0486</x:v>
      </x:c>
      <x:c r="B243" s="62" t="n">
        <x:v>486</x:v>
      </x:c>
      <x:c r="C243" s="60" t="str">
        <x:v>Science</x:v>
      </x:c>
      <x:c r="D243" s="60" t="str">
        <x:v>Easy</x:v>
      </x:c>
      <x:c r="E243" s="60" t="str">
        <x:v>General Science</x:v>
      </x:c>
      <x:c r="F243" s="60" t="str">
        <x:v>If the absolute refractive indices of two media X and Y are 6 5 and 4 3 respectively, then the refractive index of Y with respect to X will be</x:v>
      </x:c>
      <x:c r="G243" s="60" t="str">
        <x:v>10 9</x:v>
      </x:c>
      <x:c r="H243" s="60" t="str">
        <x:v>9 10</x:v>
      </x:c>
      <x:c r="I243" s="60" t="str">
        <x:v>9 8</x:v>
      </x:c>
      <x:c r="J243" s="60" t="str">
        <x:v>8 9</x:v>
      </x:c>
      <x:c r="K243" s="60" t="str">
        <x:v>A</x:v>
      </x:c>
      <x:c r="L243" s="60" t="str">
        <x:v>10 9</x:v>
      </x:c>
      <x:c r="M243" s="60" t="str">
        <x:v>The applicable optics principle identifies 10 9.</x:v>
      </x:c>
      <x:c r="N243" s="60" t="str">
        <x:v>GHF2E</x:v>
      </x:c>
      <x:c r="O243" s="60" t="str">
        <x:v>Science</x:v>
      </x:c>
      <x:c r="P243" s="60" t="str">
        <x:v>Automated structural screening passed. Rewrite the explanation to teach the reasoning before publication.</x:v>
      </x:c>
    </x:row>
    <x:row r="244">
      <x:c r="A244" s="60" t="str">
        <x:v>QB-0489</x:v>
      </x:c>
      <x:c r="B244" s="62" t="n">
        <x:v>489</x:v>
      </x:c>
      <x:c r="C244" s="60" t="str">
        <x:v>Science</x:v>
      </x:c>
      <x:c r="D244" s="60" t="str">
        <x:v>Medium</x:v>
      </x:c>
      <x:c r="E244" s="60" t="str">
        <x:v>Life Processes</x:v>
      </x:c>
      <x:c r="F244" s="60" t="str">
        <x:v>One-cell thick blood vessels are known as</x:v>
      </x:c>
      <x:c r="G244" s="60" t="str">
        <x:v>Alveoli</x:v>
      </x:c>
      <x:c r="H244" s="60" t="str">
        <x:v>Capillaries</x:v>
      </x:c>
      <x:c r="I244" s="60" t="str">
        <x:v>Arteries</x:v>
      </x:c>
      <x:c r="J244" s="60" t="str">
        <x:v>Veins</x:v>
      </x:c>
      <x:c r="K244" s="60" t="str">
        <x:v>B</x:v>
      </x:c>
      <x:c r="L244" s="60" t="str">
        <x:v>Capillaries</x:v>
      </x:c>
      <x:c r="M244" s="60" t="str">
        <x:v>The scientific principle described in “One cell thick blood vessels are known” supports Capillaries.</x:v>
      </x:c>
      <x:c r="N244" s="60" t="str">
        <x:v>GHF2E</x:v>
      </x:c>
      <x:c r="O244" s="60" t="str">
        <x:v>Science</x:v>
      </x:c>
      <x:c r="P244" s="60" t="str">
        <x:v>Automated structural screening passed. Rewrite the explanation to teach the reasoning before publication.</x:v>
      </x:c>
    </x:row>
    <x:row r="245">
      <x:c r="A245" s="60" t="str">
        <x:v>QB-0490</x:v>
      </x:c>
      <x:c r="B245" s="62" t="n">
        <x:v>490</x:v>
      </x:c>
      <x:c r="C245" s="60" t="str">
        <x:v>Science</x:v>
      </x:c>
      <x:c r="D245" s="60" t="str">
        <x:v>Hard</x:v>
      </x:c>
      <x:c r="E245" s="60" t="str">
        <x:v>Genetics &amp; Reproduction</x:v>
      </x:c>
      <x:c r="F245" s="60" t="str">
        <x:v>The number of chromosomes in a cell division is halved. This kind of cell division is observed in</x:v>
      </x:c>
      <x:c r="G245" s="60" t="str">
        <x:v>Only testis</x:v>
      </x:c>
      <x:c r="H245" s="60" t="str">
        <x:v>Only ovary</x:v>
      </x:c>
      <x:c r="I245" s="60" t="str">
        <x:v>Ovary and testis both</x:v>
      </x:c>
      <x:c r="J245" s="60" t="str">
        <x:v>All cells of the body</x:v>
      </x:c>
      <x:c r="K245" s="60" t="str">
        <x:v>C</x:v>
      </x:c>
      <x:c r="L245" s="60" t="str">
        <x:v>Ovary and testis both</x:v>
      </x:c>
      <x:c r="M245" s="60" t="str">
        <x:v>The scientific principle described in “The number of chromosomes in a cell” supports Ovary and testis both.</x:v>
      </x:c>
      <x:c r="N245" s="60" t="str">
        <x:v>GHF2E</x:v>
      </x:c>
      <x:c r="O245" s="60" t="str">
        <x:v>Science</x:v>
      </x:c>
      <x:c r="P245" s="60" t="str">
        <x:v>Automated structural screening passed. Rewrite the explanation to teach the reasoning before publication.</x:v>
      </x:c>
    </x:row>
    <x:row r="246">
      <x:c r="A246" s="60" t="str">
        <x:v>QB-0492</x:v>
      </x:c>
      <x:c r="B246" s="62" t="n">
        <x:v>492</x:v>
      </x:c>
      <x:c r="C246" s="60" t="str">
        <x:v>Science</x:v>
      </x:c>
      <x:c r="D246" s="60" t="str">
        <x:v>Medium</x:v>
      </x:c>
      <x:c r="E246" s="60" t="str">
        <x:v>Chemistry</x:v>
      </x:c>
      <x:c r="F246" s="60" t="str">
        <x:v>Two metals zinc and tin are dissolved separately in definite proportions in molten copper (the primary metal) to obtain two different alloys respectively known as</x:v>
      </x:c>
      <x:c r="G246" s="60" t="str">
        <x:v>Bronze and Brass</x:v>
      </x:c>
      <x:c r="H246" s="60" t="str">
        <x:v>Brass and Solder</x:v>
      </x:c>
      <x:c r="I246" s="60" t="str">
        <x:v>Brass and Bronze</x:v>
      </x:c>
      <x:c r="J246" s="60" t="str">
        <x:v>Solder and Bronze</x:v>
      </x:c>
      <x:c r="K246" s="60" t="str">
        <x:v>C</x:v>
      </x:c>
      <x:c r="L246" s="60" t="str">
        <x:v>Brass and Bronze</x:v>
      </x:c>
      <x:c r="M246" s="60" t="str">
        <x:v>The chemical property or reaction shown identifies Brass and Bronze.</x:v>
      </x:c>
      <x:c r="N246" s="60" t="str">
        <x:v>GHF2E</x:v>
      </x:c>
      <x:c r="O246" s="60" t="str">
        <x:v>Science</x:v>
      </x:c>
      <x:c r="P246" s="60" t="str">
        <x:v>Automated structural screening passed. Rewrite the explanation to teach the reasoning before publication.</x:v>
      </x:c>
    </x:row>
    <x:row r="247">
      <x:c r="A247" s="60" t="str">
        <x:v>QB-0493</x:v>
      </x:c>
      <x:c r="B247" s="62" t="n">
        <x:v>493</x:v>
      </x:c>
      <x:c r="C247" s="60" t="str">
        <x:v>Science</x:v>
      </x:c>
      <x:c r="D247" s="60" t="str">
        <x:v>Medium</x:v>
      </x:c>
      <x:c r="E247" s="60" t="str">
        <x:v>Chemistry</x:v>
      </x:c>
      <x:c r="F247" s="60" t="str">
        <x:v>A few pieces of granulated zinc are taken in a test tube and 2 mL of sodium hydroxide solution is added to it. When the contents are warmed, the product formed is</x:v>
      </x:c>
      <x:c r="G247" s="60" t="str">
        <x:v>Na2ZnO</x:v>
      </x:c>
      <x:c r="H247" s="60" t="str">
        <x:v>NaZnO2</x:v>
      </x:c>
      <x:c r="I247" s="60" t="str">
        <x:v>Na2ZnO2</x:v>
      </x:c>
      <x:c r="J247" s="60" t="str">
        <x:v>NaZn(OH)2</x:v>
      </x:c>
      <x:c r="K247" s="60" t="str">
        <x:v>C</x:v>
      </x:c>
      <x:c r="L247" s="60" t="str">
        <x:v>Na2ZnO2</x:v>
      </x:c>
      <x:c r="M247" s="60" t="str">
        <x:v>The chemical property or reaction shown identifies Na2ZnO2.</x:v>
      </x:c>
      <x:c r="N247" s="60" t="str">
        <x:v>GHF2E</x:v>
      </x:c>
      <x:c r="O247" s="60" t="str">
        <x:v>Science</x:v>
      </x:c>
      <x:c r="P247" s="60" t="str">
        <x:v>Automated structural screening passed. Rewrite the explanation to teach the reasoning before publication.</x:v>
      </x:c>
    </x:row>
    <x:row r="248">
      <x:c r="A248" s="60" t="str">
        <x:v>QB-0494</x:v>
      </x:c>
      <x:c r="B248" s="62" t="n">
        <x:v>494</x:v>
      </x:c>
      <x:c r="C248" s="60" t="str">
        <x:v>Science</x:v>
      </x:c>
      <x:c r="D248" s="60" t="str">
        <x:v>Hard</x:v>
      </x:c>
      <x:c r="E248" s="60" t="str">
        <x:v>Light &amp; Optics</x:v>
      </x:c>
      <x:c r="F248" s="60" t="str">
        <x:v>In the human eye, most of the refraction for the light rays entering the eye occurs at the surface of</x:v>
      </x:c>
      <x:c r="G248" s="60" t="str">
        <x:v>Cornea</x:v>
      </x:c>
      <x:c r="H248" s="60" t="str">
        <x:v>Crystalline lens</x:v>
      </x:c>
      <x:c r="I248" s="60" t="str">
        <x:v>Pupil</x:v>
      </x:c>
      <x:c r="J248" s="60" t="str">
        <x:v>Aqueous humor</x:v>
      </x:c>
      <x:c r="K248" s="60" t="str">
        <x:v>A</x:v>
      </x:c>
      <x:c r="L248" s="60" t="str">
        <x:v>Cornea</x:v>
      </x:c>
      <x:c r="M248" s="60" t="str">
        <x:v>The applicable optics principle identifies Cornea.</x:v>
      </x:c>
      <x:c r="N248" s="60" t="str">
        <x:v>GHF2E</x:v>
      </x:c>
      <x:c r="O248" s="60" t="str">
        <x:v>Science</x:v>
      </x:c>
      <x:c r="P248" s="60" t="str">
        <x:v>Automated structural screening passed. Rewrite the explanation to teach the reasoning before publication.</x:v>
      </x:c>
    </x:row>
    <x:row r="249">
      <x:c r="A249" s="60" t="str">
        <x:v>QB-0495</x:v>
      </x:c>
      <x:c r="B249" s="62" t="n">
        <x:v>495</x:v>
      </x:c>
      <x:c r="C249" s="60" t="str">
        <x:v>Science</x:v>
      </x:c>
      <x:c r="D249" s="60" t="str">
        <x:v>Easy</x:v>
      </x:c>
      <x:c r="E249" s="60" t="str">
        <x:v>General Science</x:v>
      </x:c>
      <x:c r="F249" s="60" t="str">
        <x:v>The essential element used in the synthesis of proteins is</x:v>
      </x:c>
      <x:c r="G249" s="60" t="str">
        <x:v>Nitrogen</x:v>
      </x:c>
      <x:c r="H249" s="60" t="str">
        <x:v>Phosphorus</x:v>
      </x:c>
      <x:c r="I249" s="60" t="str">
        <x:v>Iron</x:v>
      </x:c>
      <x:c r="J249" s="60" t="str">
        <x:v>Magnesium</x:v>
      </x:c>
      <x:c r="K249" s="60" t="str">
        <x:v>A</x:v>
      </x:c>
      <x:c r="L249" s="60" t="str">
        <x:v>Nitrogen</x:v>
      </x:c>
      <x:c r="M249" s="60" t="str">
        <x:v>The scientific principle described in “The essential element used in the synthesis” supports Nitrogen.</x:v>
      </x:c>
      <x:c r="N249" s="60" t="str">
        <x:v>GHF2E</x:v>
      </x:c>
      <x:c r="O249" s="60" t="str">
        <x:v>Science</x:v>
      </x:c>
      <x:c r="P249" s="60" t="str">
        <x:v>Automated structural screening passed. Rewrite the explanation to teach the reasoning before publication.</x:v>
      </x:c>
    </x:row>
    <x:row r="250">
      <x:c r="A250" s="60" t="str">
        <x:v>QB-0496</x:v>
      </x:c>
      <x:c r="B250" s="62" t="n">
        <x:v>496</x:v>
      </x:c>
      <x:c r="C250" s="60" t="str">
        <x:v>Science</x:v>
      </x:c>
      <x:c r="D250" s="60" t="str">
        <x:v>Easy</x:v>
      </x:c>
      <x:c r="E250" s="60" t="str">
        <x:v>General Science</x:v>
      </x:c>
      <x:c r="F250" s="60" t="str">
        <x:v>The resistivity of a wire made of an alloy is generally</x:v>
      </x:c>
      <x:c r="G250" s="60" t="str">
        <x:v>Lower than that of its constituent metals.</x:v>
      </x:c>
      <x:c r="H250" s="60" t="str">
        <x:v>Higher than that of its constituent metals.</x:v>
      </x:c>
      <x:c r="I250" s="60" t="str">
        <x:v>Decreases with increase in its area of cross-section.</x:v>
      </x:c>
      <x:c r="J250" s="60" t="str">
        <x:v>Increases with increase in its length.</x:v>
      </x:c>
      <x:c r="K250" s="60" t="str">
        <x:v>B</x:v>
      </x:c>
      <x:c r="L250" s="60" t="str">
        <x:v>Higher than that of its constituent metals.</x:v>
      </x:c>
      <x:c r="M250" s="60" t="str">
        <x:v>The scientific principle described in “The resistivity of a wire made of” supports Higher than that of its constituent metals..</x:v>
      </x:c>
      <x:c r="N250" s="60" t="str">
        <x:v>GHF2E</x:v>
      </x:c>
      <x:c r="O250" s="60" t="str">
        <x:v>Science</x:v>
      </x:c>
      <x:c r="P250" s="60" t="str">
        <x:v>Automated structural screening passed. Rewrite the explanation to teach the reasoning before publication.</x:v>
      </x:c>
    </x:row>
    <x:row r="251">
      <x:c r="A251" s="60" t="str">
        <x:v>QB-0497</x:v>
      </x:c>
      <x:c r="B251" s="62" t="n">
        <x:v>497</x:v>
      </x:c>
      <x:c r="C251" s="60" t="str">
        <x:v>Science</x:v>
      </x:c>
      <x:c r="D251" s="60" t="str">
        <x:v>Medium</x:v>
      </x:c>
      <x:c r="E251" s="60" t="str">
        <x:v>Life Processes</x:v>
      </x:c>
      <x:c r="F251" s="60" t="str">
        <x:v>Which one of the following statements is not correct for the plants raised by vegetative propagation?</x:v>
      </x:c>
      <x:c r="G251" s="60" t="str">
        <x:v>Can bear flowers and fruits earlier than those produced from seeds.</x:v>
      </x:c>
      <x:c r="H251" s="60" t="str">
        <x:v>Those plants that have lost the capacity to produce seeds can be grown.</x:v>
      </x:c>
      <x:c r="I251" s="60" t="str">
        <x:v>As compared to the parent plant, vegetatively propagated plants show more variations.</x:v>
      </x:c>
      <x:c r="J251" s="60" t="str">
        <x:v>All the plants produced in this way are genetically similar to the parent plant.</x:v>
      </x:c>
      <x:c r="K251" s="60" t="str">
        <x:v>C</x:v>
      </x:c>
      <x:c r="L251" s="60" t="str">
        <x:v>As compared to the parent plant, vegetatively propagated plants show more variations.</x:v>
      </x:c>
      <x:c r="M251" s="60" t="str">
        <x:v>The described biological process supports As compared to the parent plant, vegetatively propagated plants show more variations..</x:v>
      </x:c>
      <x:c r="N251" s="60" t="str">
        <x:v>GHF2E</x:v>
      </x:c>
      <x:c r="O251" s="60" t="str">
        <x:v>Science</x:v>
      </x:c>
      <x:c r="P251" s="60" t="str">
        <x:v>Automated structural screening passed. Rewrite the explanation to teach the reasoning before publication.</x:v>
      </x:c>
    </x:row>
    <x:row r="252">
      <x:c r="A252" s="60" t="str">
        <x:v>QB-0498</x:v>
      </x:c>
      <x:c r="B252" s="62" t="n">
        <x:v>498</x:v>
      </x:c>
      <x:c r="C252" s="60" t="str">
        <x:v>Science</x:v>
      </x:c>
      <x:c r="D252" s="60" t="str">
        <x:v>Hard</x:v>
      </x:c>
      <x:c r="E252" s="60" t="str">
        <x:v>Electricity &amp; Magnetism</x:v>
      </x:c>
      <x:c r="F252" s="60" t="str">
        <x:v>An electric bulb is connected to a power supply of 220 V. If the current drawn by the bulb from the supply is 500 mA, the power of the bulb is</x:v>
      </x:c>
      <x:c r="G252" s="60" t="str">
        <x:v>11 W</x:v>
      </x:c>
      <x:c r="H252" s="60" t="str">
        <x:v>110 W</x:v>
      </x:c>
      <x:c r="I252" s="60" t="str">
        <x:v>220 W</x:v>
      </x:c>
      <x:c r="J252" s="60" t="str">
        <x:v>1100 W</x:v>
      </x:c>
      <x:c r="K252" s="60" t="str">
        <x:v>B</x:v>
      </x:c>
      <x:c r="L252" s="60" t="str">
        <x:v>110 W</x:v>
      </x:c>
      <x:c r="M252" s="60" t="str">
        <x:v>The stated electricity or magnetism rule gives 110 W.</x:v>
      </x:c>
      <x:c r="N252" s="60" t="str">
        <x:v>GHF2E</x:v>
      </x:c>
      <x:c r="O252" s="60" t="str">
        <x:v>Science</x:v>
      </x:c>
      <x:c r="P252" s="60" t="str">
        <x:v>Automated structural screening passed. Rewrite the explanation to teach the reasoning before publication.</x:v>
      </x:c>
    </x:row>
    <x:row r="253">
      <x:c r="A253" s="60" t="str">
        <x:v>QB-0499</x:v>
      </x:c>
      <x:c r="B253" s="62" t="n">
        <x:v>499</x:v>
      </x:c>
      <x:c r="C253" s="60" t="str">
        <x:v>Science</x:v>
      </x:c>
      <x:c r="D253" s="60" t="str">
        <x:v>Medium</x:v>
      </x:c>
      <x:c r="E253" s="60" t="str">
        <x:v>Life Processes</x:v>
      </x:c>
      <x:c r="F253" s="60" t="str">
        <x:v>Select the correct option from the following statements about the functioning of the human heart.</x:v>
      </x:c>
      <x:c r="G253" s="60" t="str">
        <x:v>Right atrium receives deoxygenated blood from different parts of the body and sends it to pulmonary veins.</x:v>
      </x:c>
      <x:c r="H253" s="60" t="str">
        <x:v>Left atrium sends oxygenated blood to right ventricle which pumps it to different parts of the body.</x:v>
      </x:c>
      <x:c r="I253" s="60" t="str">
        <x:v>Right atrium receives deoxygenated blood from the body and sends it to the right ventricle.</x:v>
      </x:c>
      <x:c r="J253" s="60" t="str">
        <x:v>Left atrium receives oxygenated blood from the pulmonary arteries and sends it to the left ventricle.</x:v>
      </x:c>
      <x:c r="K253" s="60" t="str">
        <x:v>C</x:v>
      </x:c>
      <x:c r="L253" s="60" t="str">
        <x:v>Right atrium receives deoxygenated blood from the body and sends it to the right ventricle.</x:v>
      </x:c>
      <x:c r="M253" s="60" t="str">
        <x:v>The scientific principle described in “Select the correct option from the following” supports Right atrium receives deoxygenated blood from the body and sends it to the right ventricle..</x:v>
      </x:c>
      <x:c r="N253" s="60" t="str">
        <x:v>GHF2E</x:v>
      </x:c>
      <x:c r="O253" s="60" t="str">
        <x:v>Science</x:v>
      </x:c>
      <x:c r="P253" s="60" t="str">
        <x:v>Automated structural screening passed. Rewrite the explanation to teach the reasoning before publication.</x:v>
      </x:c>
    </x:row>
    <x:row r="254">
      <x:c r="A254" s="60" t="str">
        <x:v>QB-0500</x:v>
      </x:c>
      <x:c r="B254" s="62" t="n">
        <x:v>500</x:v>
      </x:c>
      <x:c r="C254" s="60" t="str">
        <x:v>Science</x:v>
      </x:c>
      <x:c r="D254" s="60" t="str">
        <x:v>Hard</x:v>
      </x:c>
      <x:c r="E254" s="60" t="str">
        <x:v>Light &amp; Optics</x:v>
      </x:c>
      <x:c r="F254" s="60" t="str">
        <x:v>The part of the human eye which can modify the curvature of the eye lens to some extent is</x:v>
      </x:c>
      <x:c r="G254" s="60" t="str">
        <x:v>Pupil</x:v>
      </x:c>
      <x:c r="H254" s="60" t="str">
        <x:v>Cornea</x:v>
      </x:c>
      <x:c r="I254" s="60" t="str">
        <x:v>Ciliary muscles</x:v>
      </x:c>
      <x:c r="J254" s="60" t="str">
        <x:v>Aqueous humour</x:v>
      </x:c>
      <x:c r="K254" s="60" t="str">
        <x:v>C</x:v>
      </x:c>
      <x:c r="L254" s="60" t="str">
        <x:v>Ciliary muscles</x:v>
      </x:c>
      <x:c r="M254" s="60" t="str">
        <x:v>The applicable optics principle identifies Ciliary muscles.</x:v>
      </x:c>
      <x:c r="N254" s="60" t="str">
        <x:v>GHF2E</x:v>
      </x:c>
      <x:c r="O254" s="60" t="str">
        <x:v>Science</x:v>
      </x:c>
      <x:c r="P254" s="60" t="str">
        <x:v>Automated structural screening passed. Rewrite the explanation to teach the reasoning before publication.</x:v>
      </x:c>
    </x:row>
    <x:row r="255">
      <x:c r="A255" s="60" t="str">
        <x:v>QB-0501</x:v>
      </x:c>
      <x:c r="B255" s="62" t="n">
        <x:v>501</x:v>
      </x:c>
      <x:c r="C255" s="60" t="str">
        <x:v>Science</x:v>
      </x:c>
      <x:c r="D255" s="60" t="str">
        <x:v>Medium</x:v>
      </x:c>
      <x:c r="E255" s="60" t="str">
        <x:v>Life Processes</x:v>
      </x:c>
      <x:c r="F255" s="60" t="str">
        <x:v>Which of the following is the correct sequence of parts of female reproductive system of flowering plants in terms of their placement?</x:v>
      </x:c>
      <x:c r="G255" s="60" t="str">
        <x:v>Stigma, ovule, ovary, style</x:v>
      </x:c>
      <x:c r="H255" s="60" t="str">
        <x:v>Ovule, stigma, ovary, style</x:v>
      </x:c>
      <x:c r="I255" s="60" t="str">
        <x:v>Style, stigma, ovule, ovary</x:v>
      </x:c>
      <x:c r="J255" s="60" t="str">
        <x:v>Stigma, style, ovary, ovule</x:v>
      </x:c>
      <x:c r="K255" s="60" t="str">
        <x:v>D</x:v>
      </x:c>
      <x:c r="L255" s="60" t="str">
        <x:v>Stigma, style, ovary, ovule</x:v>
      </x:c>
      <x:c r="M255" s="60" t="str">
        <x:v>The described biological process supports Stigma, style, ovary, ovule.</x:v>
      </x:c>
      <x:c r="N255" s="60" t="str">
        <x:v>GHF2E</x:v>
      </x:c>
      <x:c r="O255" s="60" t="str">
        <x:v>Science</x:v>
      </x:c>
      <x:c r="P255" s="60" t="str">
        <x:v>Automated structural screening passed. Rewrite the explanation to teach the reasoning before publication.</x:v>
      </x:c>
    </x:row>
    <x:row r="256">
      <x:c r="A256" s="60" t="str">
        <x:v>QB-0502</x:v>
      </x:c>
      <x:c r="B256" s="62" t="n">
        <x:v>502</x:v>
      </x:c>
      <x:c r="C256" s="60" t="str">
        <x:v>Science</x:v>
      </x:c>
      <x:c r="D256" s="60" t="str">
        <x:v>Easy</x:v>
      </x:c>
      <x:c r="E256" s="60" t="str">
        <x:v>General Science</x:v>
      </x:c>
      <x:c r="F256" s="60" t="str">
        <x:v>Identify the endocrine gland that regulates the growth of human body.</x:v>
      </x:c>
      <x:c r="G256" s="60" t="str">
        <x:v>Pituitary gland</x:v>
      </x:c>
      <x:c r="H256" s="60" t="str">
        <x:v>Thyroid gland</x:v>
      </x:c>
      <x:c r="I256" s="60" t="str">
        <x:v>Pancreas</x:v>
      </x:c>
      <x:c r="J256" s="60" t="str">
        <x:v>Adrenal gland</x:v>
      </x:c>
      <x:c r="K256" s="60" t="str">
        <x:v>D</x:v>
      </x:c>
      <x:c r="L256" s="60" t="str">
        <x:v>Adrenal gland</x:v>
      </x:c>
      <x:c r="M256" s="60" t="str">
        <x:v>The scientific principle described in “Identify the endocrine gland that regulates the” supports Adrenal gland.</x:v>
      </x:c>
      <x:c r="N256" s="60" t="str">
        <x:v>KL5NM</x:v>
      </x:c>
      <x:c r="O256" s="60" t="str">
        <x:v>Science</x:v>
      </x:c>
      <x:c r="P256" s="60" t="str">
        <x:v>Automated structural screening passed. Rewrite the explanation to teach the reasoning before publication.</x:v>
      </x:c>
    </x:row>
    <x:row r="257">
      <x:c r="A257" s="60" t="str">
        <x:v>QB-0503</x:v>
      </x:c>
      <x:c r="B257" s="62" t="n">
        <x:v>503</x:v>
      </x:c>
      <x:c r="C257" s="60" t="str">
        <x:v>Science</x:v>
      </x:c>
      <x:c r="D257" s="60" t="str">
        <x:v>Medium</x:v>
      </x:c>
      <x:c r="E257" s="60" t="str">
        <x:v>Life Processes</x:v>
      </x:c>
      <x:c r="F257" s="60" t="str">
        <x:v>Identify the part that controls the closing and opening of the stomatal pore in leaves of plants. 1 Select the correct option.</x:v>
      </x:c>
      <x:c r="G257" s="60" t="str">
        <x:v>Stomata</x:v>
      </x:c>
      <x:c r="H257" s="60" t="str">
        <x:v>Epidermal cells</x:v>
      </x:c>
      <x:c r="I257" s="60" t="str">
        <x:v>Guard cells</x:v>
      </x:c>
      <x:c r="J257" s="60" t="str">
        <x:v>Chloroplasts</x:v>
      </x:c>
      <x:c r="K257" s="60" t="str">
        <x:v>C</x:v>
      </x:c>
      <x:c r="L257" s="60" t="str">
        <x:v>Guard cells</x:v>
      </x:c>
      <x:c r="M257" s="60" t="str">
        <x:v>The described biological process supports Guard cells.</x:v>
      </x:c>
      <x:c r="N257" s="60" t="str">
        <x:v>KL5NM</x:v>
      </x:c>
      <x:c r="O257" s="60" t="str">
        <x:v>Science</x:v>
      </x:c>
      <x:c r="P257" s="60" t="str">
        <x:v>Automated structural screening passed. Rewrite the explanation to teach the reasoning before publication.</x:v>
      </x:c>
    </x:row>
    <x:row r="258">
      <x:c r="A258" s="60" t="str">
        <x:v>QB-0504</x:v>
      </x:c>
      <x:c r="B258" s="62" t="n">
        <x:v>504</x:v>
      </x:c>
      <x:c r="C258" s="60" t="str">
        <x:v>Science</x:v>
      </x:c>
      <x:c r="D258" s="60" t="str">
        <x:v>Easy</x:v>
      </x:c>
      <x:c r="E258" s="60" t="str">
        <x:v>Environment</x:v>
      </x:c>
      <x:c r="F258" s="60" t="str">
        <x:v>In an ecosystem, the decomposers perform an important role. Select the option indicating the role of decomposers.</x:v>
      </x:c>
      <x:c r="G258" s="60" t="str">
        <x:v>Convert inorganic materials to simpler forms</x:v>
      </x:c>
      <x:c r="H258" s="60" t="str">
        <x:v>Break down complex organic substances to simple inorganic substances.</x:v>
      </x:c>
      <x:c r="I258" s="60" t="str">
        <x:v>Break down inorganic substances into organic substances.</x:v>
      </x:c>
      <x:c r="J258" s="60" t="str">
        <x:v>Do not act on organic compounds.</x:v>
      </x:c>
      <x:c r="K258" s="60" t="str">
        <x:v>B</x:v>
      </x:c>
      <x:c r="L258" s="60" t="str">
        <x:v>Break down complex organic substances to simple inorganic substances.</x:v>
      </x:c>
      <x:c r="M258" s="60" t="str">
        <x:v>Energy flow and nutrient cycling make Break down complex organic substances to simple inorganic substances. correct.</x:v>
      </x:c>
      <x:c r="N258" s="60" t="str">
        <x:v>KL5NM</x:v>
      </x:c>
      <x:c r="O258" s="60" t="str">
        <x:v>Science</x:v>
      </x:c>
      <x:c r="P258" s="60" t="str">
        <x:v>Automated structural screening passed. Rewrite the explanation to teach the reasoning before publication.</x:v>
      </x:c>
    </x:row>
    <x:row r="259">
      <x:c r="A259" s="60" t="str">
        <x:v>QB-0505</x:v>
      </x:c>
      <x:c r="B259" s="62" t="n">
        <x:v>505</x:v>
      </x:c>
      <x:c r="C259" s="60" t="str">
        <x:v>Science</x:v>
      </x:c>
      <x:c r="D259" s="60" t="str">
        <x:v>Medium</x:v>
      </x:c>
      <x:c r="E259" s="60" t="str">
        <x:v>Life Processes</x:v>
      </x:c>
      <x:c r="F259" s="60" t="str">
        <x:v>In human beings, the implantation of fertilised egg takes place in which part of female reproductive system?</x:v>
      </x:c>
      <x:c r="G259" s="60" t="str">
        <x:v>Oviduct</x:v>
      </x:c>
      <x:c r="H259" s="60" t="str">
        <x:v>Cervix</x:v>
      </x:c>
      <x:c r="I259" s="60" t="str">
        <x:v>Uterus</x:v>
      </x:c>
      <x:c r="J259" s="60" t="str">
        <x:v>Vagina { }</x:v>
      </x:c>
      <x:c r="K259" s="60" t="str">
        <x:v>C</x:v>
      </x:c>
      <x:c r="L259" s="60" t="str">
        <x:v>Uterus</x:v>
      </x:c>
      <x:c r="M259" s="60" t="str">
        <x:v>The described biological process supports Uterus.</x:v>
      </x:c>
      <x:c r="N259" s="60" t="str">
        <x:v>KL5NM</x:v>
      </x:c>
      <x:c r="O259" s="60" t="str">
        <x:v>Science</x:v>
      </x:c>
      <x:c r="P259" s="60" t="str">
        <x:v>Automated structural screening passed. Rewrite the explanation to teach the reasoning before publication.</x:v>
      </x:c>
    </x:row>
    <x:row r="260">
      <x:c r="A260" s="60" t="str">
        <x:v>QB-0507</x:v>
      </x:c>
      <x:c r="B260" s="62" t="n">
        <x:v>507</x:v>
      </x:c>
      <x:c r="C260" s="60" t="str">
        <x:v>Science</x:v>
      </x:c>
      <x:c r="D260" s="60" t="str">
        <x:v>Easy</x:v>
      </x:c>
      <x:c r="E260" s="60" t="str">
        <x:v>Environment</x:v>
      </x:c>
      <x:c r="F260" s="60" t="str">
        <x:v>Which of the following is a non-biodegradable pollutant?</x:v>
      </x:c>
      <x:c r="G260" s="60" t="str">
        <x:v>Paper</x:v>
      </x:c>
      <x:c r="H260" s="60" t="str">
        <x:v>DDT</x:v>
      </x:c>
      <x:c r="I260" s="60" t="str">
        <x:v>Wood</x:v>
      </x:c>
      <x:c r="J260" s="60" t="str">
        <x:v>Vegetable peel</x:v>
      </x:c>
      <x:c r="K260" s="60" t="str">
        <x:v>D</x:v>
      </x:c>
      <x:c r="L260" s="60" t="str">
        <x:v>Vegetable peel</x:v>
      </x:c>
      <x:c r="M260" s="60" t="str">
        <x:v>The scientific principle described in “Which of the following is a non” supports Vegetable peel.</x:v>
      </x:c>
      <x:c r="N260" s="60" t="str">
        <x:v>KL5NM</x:v>
      </x:c>
      <x:c r="O260" s="60" t="str">
        <x:v>Science</x:v>
      </x:c>
      <x:c r="P260" s="60" t="str">
        <x:v>Automated structural screening passed. Rewrite the explanation to teach the reasoning before publication.</x:v>
      </x:c>
    </x:row>
    <x:row r="261">
      <x:c r="A261" s="60" t="str">
        <x:v>QB-0509</x:v>
      </x:c>
      <x:c r="B261" s="62" t="n">
        <x:v>509</x:v>
      </x:c>
      <x:c r="C261" s="60" t="str">
        <x:v>Science</x:v>
      </x:c>
      <x:c r="D261" s="60" t="str">
        <x:v>Medium</x:v>
      </x:c>
      <x:c r="E261" s="60" t="str">
        <x:v>Chemistry</x:v>
      </x:c>
      <x:c r="F261" s="60" t="str">
        <x:v>In accumulation of toxic substances at higher trophic levels of an ecosystem through the food chain, which of the following organisms is affected the most?</x:v>
      </x:c>
      <x:c r="G261" s="60" t="str">
        <x:v>Small aquatic plants</x:v>
      </x:c>
      <x:c r="H261" s="60" t="str">
        <x:v>Human beings</x:v>
      </x:c>
      <x:c r="I261" s="60" t="str">
        <x:v>Small fish</x:v>
      </x:c>
      <x:c r="J261" s="60" t="str">
        <x:v>Large fish</x:v>
      </x:c>
      <x:c r="K261" s="60" t="str">
        <x:v>B</x:v>
      </x:c>
      <x:c r="L261" s="60" t="str">
        <x:v>Human beings</x:v>
      </x:c>
      <x:c r="M261" s="60" t="str">
        <x:v>Energy flow and nutrient cycling make Human beings correct.</x:v>
      </x:c>
      <x:c r="N261" s="60" t="str">
        <x:v>LKN3M</x:v>
      </x:c>
      <x:c r="O261" s="60" t="str">
        <x:v>Science</x:v>
      </x:c>
      <x:c r="P261" s="60" t="str">
        <x:v>Automated structural screening passed. Rewrite the explanation to teach the reasoning before publication.</x:v>
      </x:c>
    </x:row>
    <x:row r="262">
      <x:c r="A262" s="60" t="str">
        <x:v>QB-0511</x:v>
      </x:c>
      <x:c r="B262" s="62" t="n">
        <x:v>511</x:v>
      </x:c>
      <x:c r="C262" s="60" t="str">
        <x:v>Science</x:v>
      </x:c>
      <x:c r="D262" s="60" t="str">
        <x:v>Medium</x:v>
      </x:c>
      <x:c r="E262" s="60" t="str">
        <x:v>Chemistry</x:v>
      </x:c>
      <x:c r="F262" s="60" t="str">
        <x:v>Organisms of a higher trophic level which feed on several types of organisms belonging to a lower trophic level form the:</x:v>
      </x:c>
      <x:c r="G262" s="60" t="str">
        <x:v>Food web</x:v>
      </x:c>
      <x:c r="H262" s="60" t="str">
        <x:v>Ecosystem</x:v>
      </x:c>
      <x:c r="I262" s="60" t="str">
        <x:v>Ecological pyramid</x:v>
      </x:c>
      <x:c r="J262" s="60" t="str">
        <x:v>Food chain</x:v>
      </x:c>
      <x:c r="K262" s="60" t="str">
        <x:v>A</x:v>
      </x:c>
      <x:c r="L262" s="60" t="str">
        <x:v>Food web</x:v>
      </x:c>
      <x:c r="M262" s="60" t="str">
        <x:v>Energy flow and nutrient cycling make Food web correct.</x:v>
      </x:c>
      <x:c r="N262" s="60" t="str">
        <x:v>LKN3M</x:v>
      </x:c>
      <x:c r="O262" s="60" t="str">
        <x:v>Science</x:v>
      </x:c>
      <x:c r="P262" s="60" t="str">
        <x:v>Automated structural screening passed. Rewrite the explanation to teach the reasoning before publication.</x:v>
      </x:c>
    </x:row>
    <x:row r="263">
      <x:c r="A263" s="60" t="str">
        <x:v>QB-0513</x:v>
      </x:c>
      <x:c r="B263" s="62" t="n">
        <x:v>513</x:v>
      </x:c>
      <x:c r="C263" s="60" t="str">
        <x:v>Science</x:v>
      </x:c>
      <x:c r="D263" s="60" t="str">
        <x:v>Medium</x:v>
      </x:c>
      <x:c r="E263" s="60" t="str">
        <x:v>General Science</x:v>
      </x:c>
      <x:c r="F263" s="60" t="str">
        <x:v>Walking in a straight line and riding a bicycle are activities which are possible due to coordination of which part of the brain ? 1 (Part of the Brain) (Name of the area of the Brain)</x:v>
      </x:c>
      <x:c r="G263" s="60" t="str">
        <x:v>Fore-Brain Cerebrum</x:v>
      </x:c>
      <x:c r="H263" s="60" t="str">
        <x:v>Mid-Brain Cerebellum</x:v>
      </x:c>
      <x:c r="I263" s="60" t="str">
        <x:v>Hind-Brain Cerebellum</x:v>
      </x:c>
      <x:c r="J263" s="60" t="str">
        <x:v>Hind-Brain Medulla</x:v>
      </x:c>
      <x:c r="K263" s="60" t="str">
        <x:v>A</x:v>
      </x:c>
      <x:c r="L263" s="60" t="str">
        <x:v>Fore-Brain Cerebrum</x:v>
      </x:c>
      <x:c r="M263" s="60" t="str">
        <x:v>The scientific principle described in “Walking in a straight line and riding” supports Fore-Brain Cerebrum.</x:v>
      </x:c>
      <x:c r="N263" s="60" t="str">
        <x:v>LKN3M</x:v>
      </x:c>
      <x:c r="O263" s="60" t="str">
        <x:v>Science</x:v>
      </x:c>
      <x:c r="P263" s="60" t="str">
        <x:v>Automated structural screening passed. Rewrite the explanation to teach the reasoning before publication.</x:v>
      </x:c>
    </x:row>
    <x:row r="264">
      <x:c r="A264" s="60" t="str">
        <x:v>QB-0514</x:v>
      </x:c>
      <x:c r="B264" s="62" t="n">
        <x:v>514</x:v>
      </x:c>
      <x:c r="C264" s="60" t="str">
        <x:v>Science</x:v>
      </x:c>
      <x:c r="D264" s="60" t="str">
        <x:v>Easy</x:v>
      </x:c>
      <x:c r="E264" s="60" t="str">
        <x:v>General Science</x:v>
      </x:c>
      <x:c r="F264" s="60" t="str">
        <x:v>Identify the type of tropic movement that is responsible for the movement of the pollen tube towards an ovule from the following options.</x:v>
      </x:c>
      <x:c r="G264" s="60" t="str">
        <x:v>Hydrotropism</x:v>
      </x:c>
      <x:c r="H264" s="60" t="str">
        <x:v>Geotropism</x:v>
      </x:c>
      <x:c r="I264" s="60" t="str">
        <x:v>Chemotropism</x:v>
      </x:c>
      <x:c r="J264" s="60" t="str">
        <x:v>Phototropism [ ]</x:v>
      </x:c>
      <x:c r="K264" s="60" t="str">
        <x:v>C</x:v>
      </x:c>
      <x:c r="L264" s="60" t="str">
        <x:v>Chemotropism</x:v>
      </x:c>
      <x:c r="M264" s="60" t="str">
        <x:v>The scientific principle described in “Identify the type of tropic movement that” supports Chemotropism.</x:v>
      </x:c>
      <x:c r="N264" s="60" t="str">
        <x:v>LMNK2</x:v>
      </x:c>
      <x:c r="O264" s="60" t="str">
        <x:v>Science</x:v>
      </x:c>
      <x:c r="P264" s="60" t="str">
        <x:v>Automated structural screening passed. Rewrite the explanation to teach the reasoning before publication.</x:v>
      </x:c>
    </x:row>
    <x:row r="265">
      <x:c r="A265" s="60" t="str">
        <x:v>QB-0517</x:v>
      </x:c>
      <x:c r="B265" s="62" t="n">
        <x:v>517</x:v>
      </x:c>
      <x:c r="C265" s="60" t="str">
        <x:v>Science</x:v>
      </x:c>
      <x:c r="D265" s="60" t="str">
        <x:v>Medium</x:v>
      </x:c>
      <x:c r="E265" s="60" t="str">
        <x:v>Life Processes</x:v>
      </x:c>
      <x:c r="F265" s="60" t="str">
        <x:v>The carbohydrates, which are not used immediately in plants, are stored in the form of ‘a’, which serves as an internal energy reserve. What does ‘a’ stand for?</x:v>
      </x:c>
      <x:c r="G265" s="60" t="str">
        <x:v>Starch</x:v>
      </x:c>
      <x:c r="H265" s="60" t="str">
        <x:v>Sugar</x:v>
      </x:c>
      <x:c r="I265" s="60" t="str">
        <x:v>Fat</x:v>
      </x:c>
      <x:c r="J265" s="60" t="str">
        <x:v>Protein</x:v>
      </x:c>
      <x:c r="K265" s="60" t="str">
        <x:v>B</x:v>
      </x:c>
      <x:c r="L265" s="60" t="str">
        <x:v>Sugar</x:v>
      </x:c>
      <x:c r="M265" s="60" t="str">
        <x:v>The described biological process supports Sugar.</x:v>
      </x:c>
      <x:c r="N265" s="60" t="str">
        <x:v>LMNK2</x:v>
      </x:c>
      <x:c r="O265" s="60" t="str">
        <x:v>Science</x:v>
      </x:c>
      <x:c r="P265" s="60" t="str">
        <x:v>Automated structural screening passed. Rewrite the explanation to teach the reasoning before publication.</x:v>
      </x:c>
    </x:row>
    <x:row r="266">
      <x:c r="A266" s="60" t="str">
        <x:v>QB-0519</x:v>
      </x:c>
      <x:c r="B266" s="62" t="n">
        <x:v>519</x:v>
      </x:c>
      <x:c r="C266" s="60" t="str">
        <x:v>Science</x:v>
      </x:c>
      <x:c r="D266" s="60" t="str">
        <x:v>Medium</x:v>
      </x:c>
      <x:c r="E266" s="60" t="str">
        <x:v>Chemistry</x:v>
      </x:c>
      <x:c r="F266" s="60" t="str">
        <x:v>Which of the following limits the number of trophic levels in a food chain?</x:v>
      </x:c>
      <x:c r="G266" s="60" t="str">
        <x:v>Availability of water</x:v>
      </x:c>
      <x:c r="H266" s="60" t="str">
        <x:v>Deficient food supply</x:v>
      </x:c>
      <x:c r="I266" s="60" t="str">
        <x:v>Decrease in energy at higher levels</x:v>
      </x:c>
      <x:c r="J266" s="60" t="str">
        <x:v>Pollution in air</x:v>
      </x:c>
      <x:c r="K266" s="60" t="str">
        <x:v>C</x:v>
      </x:c>
      <x:c r="L266" s="60" t="str">
        <x:v>Decrease in energy at higher levels</x:v>
      </x:c>
      <x:c r="M266" s="60" t="str">
        <x:v>Energy flow and nutrient cycling make Decrease in energy at higher levels correct.</x:v>
      </x:c>
      <x:c r="N266" s="60" t="str">
        <x:v>LMNK2</x:v>
      </x:c>
      <x:c r="O266" s="60" t="str">
        <x:v>Science</x:v>
      </x:c>
      <x:c r="P266" s="60" t="str">
        <x:v>Automated structural screening passed. Rewrite the explanation to teach the reasoning before publication.</x:v>
      </x:c>
    </x:row>
    <x:row r="267">
      <x:c r="A267" s="60" t="str">
        <x:v>QB-0520</x:v>
      </x:c>
      <x:c r="B267" s="62" t="n">
        <x:v>520</x:v>
      </x:c>
      <x:c r="C267" s="60" t="str">
        <x:v>Science</x:v>
      </x:c>
      <x:c r="D267" s="60" t="str">
        <x:v>Medium</x:v>
      </x:c>
      <x:c r="E267" s="60" t="str">
        <x:v>Life Processes</x:v>
      </x:c>
      <x:c r="F267" s="60" t="str">
        <x:v>Identify the traits that cannot be transmitted from parents to the off- springs : 1 (i) Swimming technique (ii) Blood group (iii) Eye colour (iv) Dancing skills Options</x:v>
      </x:c>
      <x:c r="G267" s="60" t="str">
        <x:v>(i) and (ii)</x:v>
      </x:c>
      <x:c r="H267" s="60" t="str">
        <x:v>(i) and (iv)</x:v>
      </x:c>
      <x:c r="I267" s="60" t="str">
        <x:v>(iii) and (iv)</x:v>
      </x:c>
      <x:c r="J267" s="60" t="str">
        <x:v>(ii) and (iii)</x:v>
      </x:c>
      <x:c r="K267" s="60" t="str">
        <x:v>C</x:v>
      </x:c>
      <x:c r="L267" s="60" t="str">
        <x:v>(iii) and (iv)</x:v>
      </x:c>
      <x:c r="M267" s="60" t="str">
        <x:v>The scientific principle described in “Identify the traits that cannot be transmitted” supports (iii) and (iv).</x:v>
      </x:c>
      <x:c r="N267" s="60" t="str">
        <x:v>LN4MK</x:v>
      </x:c>
      <x:c r="O267" s="60" t="str">
        <x:v>Science</x:v>
      </x:c>
      <x:c r="P267" s="60" t="str">
        <x:v>Automated structural screening passed. Rewrite the explanation to teach the reasoning before publication.</x:v>
      </x:c>
    </x:row>
    <x:row r="268">
      <x:c r="A268" s="60" t="str">
        <x:v>QB-0521</x:v>
      </x:c>
      <x:c r="B268" s="62" t="n">
        <x:v>521</x:v>
      </x:c>
      <x:c r="C268" s="60" t="str">
        <x:v>Science</x:v>
      </x:c>
      <x:c r="D268" s="60" t="str">
        <x:v>Medium</x:v>
      </x:c>
      <x:c r="E268" s="60" t="str">
        <x:v>Chemistry</x:v>
      </x:c>
      <x:c r="F268" s="60" t="str">
        <x:v>In terms of various trophic levels of a food chain, which of the following organisms belong to the same level?</x:v>
      </x:c>
      <x:c r="G268" s="60" t="str">
        <x:v>Snake and Grasshopper</x:v>
      </x:c>
      <x:c r="H268" s="60" t="str">
        <x:v>Grass and tree</x:v>
      </x:c>
      <x:c r="I268" s="60" t="str">
        <x:v>Lizard and elephant</x:v>
      </x:c>
      <x:c r="J268" s="60" t="str">
        <x:v>Bacteria and grass</x:v>
      </x:c>
      <x:c r="K268" s="60" t="str">
        <x:v>D</x:v>
      </x:c>
      <x:c r="L268" s="60" t="str">
        <x:v>Bacteria and grass</x:v>
      </x:c>
      <x:c r="M268" s="60" t="str">
        <x:v>Energy flow and nutrient cycling make Bacteria and grass correct.</x:v>
      </x:c>
      <x:c r="N268" s="60" t="str">
        <x:v>LN4MK</x:v>
      </x:c>
      <x:c r="O268" s="60" t="str">
        <x:v>Science</x:v>
      </x:c>
      <x:c r="P268" s="60" t="str">
        <x:v>Automated structural screening passed. Rewrite the explanation to teach the reasoning before publication.</x:v>
      </x:c>
    </x:row>
    <x:row r="269">
      <x:c r="A269" s="60" t="str">
        <x:v>QB-0522</x:v>
      </x:c>
      <x:c r="B269" s="62" t="n">
        <x:v>522</x:v>
      </x:c>
      <x:c r="C269" s="60" t="str">
        <x:v>Science</x:v>
      </x:c>
      <x:c r="D269" s="60" t="str">
        <x:v>Easy</x:v>
      </x:c>
      <x:c r="E269" s="60" t="str">
        <x:v>General Science</x:v>
      </x:c>
      <x:c r="F269" s="60" t="str">
        <x:v>Opening of stomata is regulated by:</x:v>
      </x:c>
      <x:c r="G269" s="60" t="str">
        <x:v>Entry of water into guard cells</x:v>
      </x:c>
      <x:c r="H269" s="60" t="str">
        <x:v>Exit of water from guard cells</x:v>
      </x:c>
      <x:c r="I269" s="60" t="str">
        <x:v>Entry of air into the stomatal pore</x:v>
      </x:c>
      <x:c r="J269" s="60" t="str">
        <x:v>Entry of water into the stomatal pore</x:v>
      </x:c>
      <x:c r="K269" s="60" t="str">
        <x:v>D</x:v>
      </x:c>
      <x:c r="L269" s="60" t="str">
        <x:v>Entry of water into the stomatal pore</x:v>
      </x:c>
      <x:c r="M269" s="60" t="str">
        <x:v>The described biological process supports Entry of water into the stomatal pore.</x:v>
      </x:c>
      <x:c r="N269" s="60" t="str">
        <x:v>LN4MK</x:v>
      </x:c>
      <x:c r="O269" s="60" t="str">
        <x:v>Science</x:v>
      </x:c>
      <x:c r="P269" s="60" t="str">
        <x:v>Automated structural screening passed. Rewrite the explanation to teach the reasoning before publication.</x:v>
      </x:c>
    </x:row>
    <x:row r="270">
      <x:c r="A270" s="60" t="str">
        <x:v>QB-0523</x:v>
      </x:c>
      <x:c r="B270" s="62" t="n">
        <x:v>523</x:v>
      </x:c>
      <x:c r="C270" s="60" t="str">
        <x:v>Science</x:v>
      </x:c>
      <x:c r="D270" s="60" t="str">
        <x:v>Medium</x:v>
      </x:c>
      <x:c r="E270" s="60" t="str">
        <x:v>Life Processes</x:v>
      </x:c>
      <x:c r="F270" s="60" t="str">
        <x:v>Four chambered heart is a characteristic of:</x:v>
      </x:c>
      <x:c r="G270" s="60" t="str">
        <x:v>Fishes</x:v>
      </x:c>
      <x:c r="H270" s="60" t="str">
        <x:v>Amphibians</x:v>
      </x:c>
      <x:c r="I270" s="60" t="str">
        <x:v>Reptiles</x:v>
      </x:c>
      <x:c r="J270" s="60" t="str">
        <x:v>Mammals</x:v>
      </x:c>
      <x:c r="K270" s="60" t="str">
        <x:v>A</x:v>
      </x:c>
      <x:c r="L270" s="60" t="str">
        <x:v>Fishes</x:v>
      </x:c>
      <x:c r="M270" s="60" t="str">
        <x:v>The scientific principle described in “Four chambered heart is a characteristic of” supports Fishes.</x:v>
      </x:c>
      <x:c r="N270" s="60" t="str">
        <x:v>LN4MK</x:v>
      </x:c>
      <x:c r="O270" s="60" t="str">
        <x:v>Science</x:v>
      </x:c>
      <x:c r="P270" s="60" t="str">
        <x:v>Automated structural screening passed. Rewrite the explanation to teach the reasoning before publication.</x:v>
      </x:c>
    </x:row>
    <x:row r="271">
      <x:c r="A271" s="60" t="str">
        <x:v>QB-0524</x:v>
      </x:c>
      <x:c r="B271" s="62" t="n">
        <x:v>524</x:v>
      </x:c>
      <x:c r="C271" s="60" t="str">
        <x:v>Science</x:v>
      </x:c>
      <x:c r="D271" s="60" t="str">
        <x:v>Medium</x:v>
      </x:c>
      <x:c r="E271" s="60" t="str">
        <x:v>Life Processes</x:v>
      </x:c>
      <x:c r="F271" s="60" t="str">
        <x:v>Translocation is the process in which plants deliver:</x:v>
      </x:c>
      <x:c r="G271" s="60" t="str">
        <x:v>Minerals from leaves to other parts of the plant.</x:v>
      </x:c>
      <x:c r="H271" s="60" t="str">
        <x:v>Plant growth hormones from leaves to other parts of the plant.</x:v>
      </x:c>
      <x:c r="I271" s="60" t="str">
        <x:v>Water and inorganic substances from leaves to other parts of the plant.</x:v>
      </x:c>
      <x:c r="J271" s="60" t="str">
        <x:v>Organic substances from leaves to the other parts of the plant.</x:v>
      </x:c>
      <x:c r="K271" s="60" t="str">
        <x:v>B</x:v>
      </x:c>
      <x:c r="L271" s="60" t="str">
        <x:v>Plant growth hormones from leaves to other parts of the plant.</x:v>
      </x:c>
      <x:c r="M271" s="60" t="str">
        <x:v>The described biological process supports Plant growth hormones from leaves to other parts of the plant..</x:v>
      </x:c>
      <x:c r="N271" s="60" t="str">
        <x:v>LN4MK</x:v>
      </x:c>
      <x:c r="O271" s="60" t="str">
        <x:v>Science</x:v>
      </x:c>
      <x:c r="P271" s="60" t="str">
        <x:v>Automated structural screening passed. Rewrite the explanation to teach the reasoning before publication.</x:v>
      </x:c>
    </x:row>
    <x:row r="272">
      <x:c r="A272" s="60" t="str">
        <x:v>QB-0526</x:v>
      </x:c>
      <x:c r="B272" s="62" t="n">
        <x:v>526</x:v>
      </x:c>
      <x:c r="C272" s="60" t="str">
        <x:v>Science</x:v>
      </x:c>
      <x:c r="D272" s="60" t="str">
        <x:v>Medium</x:v>
      </x:c>
      <x:c r="E272" s="60" t="str">
        <x:v>Chemistry</x:v>
      </x:c>
      <x:c r="F272" s="60" t="str">
        <x:v>Among the following, the metal with lowest density is</x:v>
      </x:c>
      <x:c r="G272" s="60" t="str">
        <x:v>Lithium</x:v>
      </x:c>
      <x:c r="H272" s="60" t="str">
        <x:v>Lead</x:v>
      </x:c>
      <x:c r="I272" s="60" t="str">
        <x:v>Magnesium</x:v>
      </x:c>
      <x:c r="J272" s="60" t="str">
        <x:v>Aluminium</x:v>
      </x:c>
      <x:c r="K272" s="60" t="str">
        <x:v>A</x:v>
      </x:c>
      <x:c r="L272" s="60" t="str">
        <x:v>Lithium</x:v>
      </x:c>
      <x:c r="M272" s="60" t="str">
        <x:v>The chemical property or reaction shown identifies Lithium.</x:v>
      </x:c>
      <x:c r="N272" s="60" t="str">
        <x:v>Z1XYW/2</x:v>
      </x:c>
      <x:c r="O272" s="60" t="str">
        <x:v>Science</x:v>
      </x:c>
      <x:c r="P272" s="60" t="str">
        <x:v>Automated structural screening passed. Rewrite the explanation to teach the reasoning before publication.</x:v>
      </x:c>
    </x:row>
    <x:row r="273">
      <x:c r="A273" s="60" t="str">
        <x:v>QB-0527</x:v>
      </x:c>
      <x:c r="B273" s="62" t="n">
        <x:v>527</x:v>
      </x:c>
      <x:c r="C273" s="60" t="str">
        <x:v>Science</x:v>
      </x:c>
      <x:c r="D273" s="60" t="str">
        <x:v>Easy</x:v>
      </x:c>
      <x:c r="E273" s="60" t="str">
        <x:v>General Science</x:v>
      </x:c>
      <x:c r="F273" s="60" t="str">
        <x:v>During vigorous exercise, the occurrence of cramps in the outer muscles of an athlete is due to the conversion of pyruvate to</x:v>
      </x:c>
      <x:c r="G273" s="60" t="str">
        <x:v>Glucose</x:v>
      </x:c>
      <x:c r="H273" s="60" t="str">
        <x:v>Ethanol</x:v>
      </x:c>
      <x:c r="I273" s="60" t="str">
        <x:v>Lactic acid</x:v>
      </x:c>
      <x:c r="J273" s="60" t="str">
        <x:v>Lactose</x:v>
      </x:c>
      <x:c r="K273" s="60" t="str">
        <x:v>C</x:v>
      </x:c>
      <x:c r="L273" s="60" t="str">
        <x:v>Lactic acid</x:v>
      </x:c>
      <x:c r="M273" s="60" t="str">
        <x:v>The scientific principle described in “During vigorous exercise the occurrence of cramps” supports Lactic acid.</x:v>
      </x:c>
      <x:c r="N273" s="60" t="str">
        <x:v>Z1XYW/2</x:v>
      </x:c>
      <x:c r="O273" s="60" t="str">
        <x:v>Science</x:v>
      </x:c>
      <x:c r="P273" s="60" t="str">
        <x:v>Automated structural screening passed. Rewrite the explanation to teach the reasoning before publication.</x:v>
      </x:c>
    </x:row>
    <x:row r="274">
      <x:c r="A274" s="60" t="str">
        <x:v>QB-0530</x:v>
      </x:c>
      <x:c r="B274" s="62" t="n">
        <x:v>530</x:v>
      </x:c>
      <x:c r="C274" s="60" t="str">
        <x:v>Science</x:v>
      </x:c>
      <x:c r="D274" s="60" t="str">
        <x:v>Hard</x:v>
      </x:c>
      <x:c r="E274" s="60" t="str">
        <x:v>Electricity &amp; Magnetism</x:v>
      </x:c>
      <x:c r="F274" s="60" t="str">
        <x:v>In a resistive circuit if the current is increased to two times, the percentage change in the amount of heat dissipated in the circuit would be</x:v>
      </x:c>
      <x:c r="G274" s="60" t="str">
        <x:v>400%</x:v>
      </x:c>
      <x:c r="H274" s="60" t="str">
        <x:v>300%</x:v>
      </x:c>
      <x:c r="I274" s="60" t="str">
        <x:v>200%</x:v>
      </x:c>
      <x:c r="J274" s="60" t="str">
        <x:v>100%</x:v>
      </x:c>
      <x:c r="K274" s="60" t="str">
        <x:v>B</x:v>
      </x:c>
      <x:c r="L274" s="60" t="str">
        <x:v>300%</x:v>
      </x:c>
      <x:c r="M274" s="60" t="str">
        <x:v>The stated electricity or magnetism rule gives 300%.</x:v>
      </x:c>
      <x:c r="N274" s="60" t="str">
        <x:v>Z1XYW/2</x:v>
      </x:c>
      <x:c r="O274" s="60" t="str">
        <x:v>Science</x:v>
      </x:c>
      <x:c r="P274" s="60" t="str">
        <x:v>Automated structural screening passed. Rewrite the explanation to teach the reasoning before publication.</x:v>
      </x:c>
    </x:row>
    <x:row r="275">
      <x:c r="A275" s="60" t="str">
        <x:v>QB-0532</x:v>
      </x:c>
      <x:c r="B275" s="62" t="n">
        <x:v>532</x:v>
      </x:c>
      <x:c r="C275" s="60" t="str">
        <x:v>Science</x:v>
      </x:c>
      <x:c r="D275" s="60" t="str">
        <x:v>Medium</x:v>
      </x:c>
      <x:c r="E275" s="60" t="str">
        <x:v>Chemistry</x:v>
      </x:c>
      <x:c r="F275" s="60" t="str">
        <x:v>In the given experimental set-up, if the experiment is carried out separately with each of the following solutions the cases in which the bulb will glow is/are : (i) Dilute hydrochloric acid (ii) Dilute sulphuric acid (iii) Glucose solution (iv) Alcohol</x:v>
      </x:c>
      <x:c r="G275" s="60" t="str">
        <x:v>(i) only</x:v>
      </x:c>
      <x:c r="H275" s="60" t="str">
        <x:v>(ii) only</x:v>
      </x:c>
      <x:c r="I275" s="60" t="str">
        <x:v>(i) and (ii)</x:v>
      </x:c>
      <x:c r="J275" s="60" t="str">
        <x:v>(ii)</x:v>
      </x:c>
      <x:c r="K275" s="60" t="str">
        <x:v>C</x:v>
      </x:c>
      <x:c r="L275" s="60" t="str">
        <x:v>(i) and (ii)</x:v>
      </x:c>
      <x:c r="M275" s="60" t="str">
        <x:v>The chemical property or reaction shown identifies (i) and (ii).</x:v>
      </x:c>
      <x:c r="N275" s="60" t="str">
        <x:v>Z1XYW/2</x:v>
      </x:c>
      <x:c r="O275" s="60" t="str">
        <x:v>Science</x:v>
      </x:c>
      <x:c r="P275" s="60" t="str">
        <x:v>Automated structural screening passed. Rewrite the explanation to teach the reasoning before publication.</x:v>
      </x:c>
    </x:row>
    <x:row r="276">
      <x:c r="A276" s="60" t="str">
        <x:v>QB-0533</x:v>
      </x:c>
      <x:c r="B276" s="62" t="n">
        <x:v>533</x:v>
      </x:c>
      <x:c r="C276" s="60" t="str">
        <x:v>Science</x:v>
      </x:c>
      <x:c r="D276" s="60" t="str">
        <x:v>Medium</x:v>
      </x:c>
      <x:c r="E276" s="60" t="str">
        <x:v>Life Processes</x:v>
      </x:c>
      <x:c r="F276" s="60" t="str">
        <x:v>Plants which bear unisexual flowers are</x:v>
      </x:c>
      <x:c r="G276" s="60" t="str">
        <x:v>Mustard and Papaya</x:v>
      </x:c>
      <x:c r="H276" s="60" t="str">
        <x:v>Hibiscus and Watermelon</x:v>
      </x:c>
      <x:c r="I276" s="60" t="str">
        <x:v>Mustard and Hibiscus</x:v>
      </x:c>
      <x:c r="J276" s="60" t="str">
        <x:v>Watermelon and Papaya</x:v>
      </x:c>
      <x:c r="K276" s="60" t="str">
        <x:v>D</x:v>
      </x:c>
      <x:c r="L276" s="60" t="str">
        <x:v>Watermelon and Papaya</x:v>
      </x:c>
      <x:c r="M276" s="60" t="str">
        <x:v>The described biological process supports Watermelon and Papaya.</x:v>
      </x:c>
      <x:c r="N276" s="60" t="str">
        <x:v>Z1XYW/2</x:v>
      </x:c>
      <x:c r="O276" s="60" t="str">
        <x:v>Science</x:v>
      </x:c>
      <x:c r="P276" s="60" t="str">
        <x:v>Automated structural screening passed. Rewrite the explanation to teach the reasoning before publication.</x:v>
      </x:c>
    </x:row>
    <x:row r="277">
      <x:c r="A277" s="60" t="str">
        <x:v>QB-0534</x:v>
      </x:c>
      <x:c r="B277" s="62" t="n">
        <x:v>534</x:v>
      </x:c>
      <x:c r="C277" s="60" t="str">
        <x:v>Science</x:v>
      </x:c>
      <x:c r="D277" s="60" t="str">
        <x:v>Medium</x:v>
      </x:c>
      <x:c r="E277" s="60" t="str">
        <x:v>Chemistry</x:v>
      </x:c>
      <x:c r="F277" s="60" t="str">
        <x:v>Sphincter muscles are present at the exit of</x:v>
      </x:c>
      <x:c r="G277" s="60" t="str">
        <x:v>Stomach and small intestine</x:v>
      </x:c>
      <x:c r="H277" s="60" t="str">
        <x:v>Stomach and anus</x:v>
      </x:c>
      <x:c r="I277" s="60" t="str">
        <x:v>Small intestine and large intestine</x:v>
      </x:c>
      <x:c r="J277" s="60" t="str">
        <x:v>Oesophagus and stomach</x:v>
      </x:c>
      <x:c r="K277" s="60" t="str">
        <x:v>B</x:v>
      </x:c>
      <x:c r="L277" s="60" t="str">
        <x:v>Stomach and anus</x:v>
      </x:c>
      <x:c r="M277" s="60" t="str">
        <x:v>The chemical property or reaction shown identifies Stomach and anus.</x:v>
      </x:c>
      <x:c r="N277" s="60" t="str">
        <x:v>Z1XYW/2</x:v>
      </x:c>
      <x:c r="O277" s="60" t="str">
        <x:v>Science</x:v>
      </x:c>
      <x:c r="P277" s="60" t="str">
        <x:v>Automated structural screening passed. Rewrite the explanation to teach the reasoning before publication.</x:v>
      </x:c>
    </x:row>
    <x:row r="278">
      <x:c r="A278" s="60" t="str">
        <x:v>QB-0535</x:v>
      </x:c>
      <x:c r="B278" s="62" t="n">
        <x:v>535</x:v>
      </x:c>
      <x:c r="C278" s="60" t="str">
        <x:v>Science</x:v>
      </x:c>
      <x:c r="D278" s="60" t="str">
        <x:v>Medium</x:v>
      </x:c>
      <x:c r="E278" s="60" t="str">
        <x:v>Chemistry</x:v>
      </x:c>
      <x:c r="F278" s="60" t="str">
        <x:v>The number of electrons in the outermost shell of the atom of a non-metal can be</x:v>
      </x:c>
      <x:c r="G278" s="60" t="str">
        <x:v>1, 2 or 3</x:v>
      </x:c>
      <x:c r="H278" s="60" t="str">
        <x:v>3, 4 or 5</x:v>
      </x:c>
      <x:c r="I278" s="60" t="str">
        <x:v>5, 6 or 7</x:v>
      </x:c>
      <x:c r="J278" s="60" t="str">
        <x:v>5, 6 or 8</x:v>
      </x:c>
      <x:c r="K278" s="60" t="str">
        <x:v>C</x:v>
      </x:c>
      <x:c r="L278" s="60" t="str">
        <x:v>5, 6 or 7</x:v>
      </x:c>
      <x:c r="M278" s="60" t="str">
        <x:v>The chemical property or reaction shown identifies 5, 6 or 7.</x:v>
      </x:c>
      <x:c r="N278" s="60" t="str">
        <x:v>Z1XYW/2</x:v>
      </x:c>
      <x:c r="O278" s="60" t="str">
        <x:v>Science</x:v>
      </x:c>
      <x:c r="P278" s="60" t="str">
        <x:v>Automated structural screening passed. Rewrite the explanation to teach the reasoning before publication.</x:v>
      </x:c>
    </x:row>
    <x:row r="279">
      <x:c r="A279" s="60" t="str">
        <x:v>QB-0536</x:v>
      </x:c>
      <x:c r="B279" s="62" t="n">
        <x:v>536</x:v>
      </x:c>
      <x:c r="C279" s="60" t="str">
        <x:v>Science</x:v>
      </x:c>
      <x:c r="D279" s="60" t="str">
        <x:v>Medium</x:v>
      </x:c>
      <x:c r="E279" s="60" t="str">
        <x:v>Chemistry</x:v>
      </x:c>
      <x:c r="F279" s="60" t="str">
        <x:v>The total number of electrons shared in the formation of an ethyne molecule is</x:v>
      </x:c>
      <x:c r="G279" s="60" t="str">
        <x:v>6</x:v>
      </x:c>
      <x:c r="H279" s="60" t="str">
        <x:v>3</x:v>
      </x:c>
      <x:c r="I279" s="60" t="str">
        <x:v>10</x:v>
      </x:c>
      <x:c r="J279" s="60" t="str">
        <x:v>4</x:v>
      </x:c>
      <x:c r="K279" s="60" t="str">
        <x:v>C</x:v>
      </x:c>
      <x:c r="L279" s="60" t="str">
        <x:v>10</x:v>
      </x:c>
      <x:c r="M279" s="60" t="str">
        <x:v>The scientific principle described in “The total number of electrons shared in” supports 10.</x:v>
      </x:c>
      <x:c r="N279" s="60" t="str">
        <x:v>Z1XYW/2</x:v>
      </x:c>
      <x:c r="O279" s="60" t="str">
        <x:v>Science</x:v>
      </x:c>
      <x:c r="P279" s="60" t="str">
        <x:v>Automated structural screening passed. Rewrite the explanation to teach the reasoning before publication.</x:v>
      </x:c>
    </x:row>
    <x:row r="280">
      <x:c r="A280" s="60" t="str">
        <x:v>QB-0537</x:v>
      </x:c>
      <x:c r="B280" s="62" t="n">
        <x:v>537</x:v>
      </x:c>
      <x:c r="C280" s="60" t="str">
        <x:v>Science</x:v>
      </x:c>
      <x:c r="D280" s="60" t="str">
        <x:v>Medium</x:v>
      </x:c>
      <x:c r="E280" s="60" t="str">
        <x:v>Chemistry</x:v>
      </x:c>
      <x:c r="F280" s="60" t="str">
        <x:v>When zinc reacts with sodium hydroxide, the product formed is</x:v>
      </x:c>
      <x:c r="G280" s="60" t="str">
        <x:v>Sodium oxide</x:v>
      </x:c>
      <x:c r="H280" s="60" t="str">
        <x:v>Sodium zincate</x:v>
      </x:c>
      <x:c r="I280" s="60" t="str">
        <x:v>Zinc hydroxide</x:v>
      </x:c>
      <x:c r="J280" s="60" t="str">
        <x:v>Zinc oxide + Solution</x:v>
      </x:c>
      <x:c r="K280" s="60" t="str">
        <x:v>B</x:v>
      </x:c>
      <x:c r="L280" s="60" t="str">
        <x:v>Sodium zincate</x:v>
      </x:c>
      <x:c r="M280" s="60" t="str">
        <x:v>The chemical property or reaction shown identifies Sodium zincate.</x:v>
      </x:c>
      <x:c r="N280" s="60" t="str">
        <x:v>Z1XYW/2</x:v>
      </x:c>
      <x:c r="O280" s="60" t="str">
        <x:v>Science</x:v>
      </x:c>
      <x:c r="P280" s="60" t="str">
        <x:v>Automated structural screening passed. Rewrite the explanation to teach the reasoning before publication.</x:v>
      </x:c>
    </x:row>
    <x:row r="281">
      <x:c r="A281" s="60" t="str">
        <x:v>QB-0538</x:v>
      </x:c>
      <x:c r="B281" s="62" t="n">
        <x:v>538</x:v>
      </x:c>
      <x:c r="C281" s="60" t="str">
        <x:v>Science</x:v>
      </x:c>
      <x:c r="D281" s="60" t="str">
        <x:v>Easy</x:v>
      </x:c>
      <x:c r="E281" s="60" t="str">
        <x:v>General Science</x:v>
      </x:c>
      <x:c r="F281" s="60" t="str">
        <x:v>Which of the following is an example of endothermic process?</x:v>
      </x:c>
      <x:c r="G281" s="60" t="str">
        <x:v>Formation of slaked lime</x:v>
      </x:c>
      <x:c r="H281" s="60" t="str">
        <x:v>Decomposition of vegetable matter into compost</x:v>
      </x:c>
      <x:c r="I281" s="60" t="str">
        <x:v>Dissolution of ammonium chloride in water</x:v>
      </x:c>
      <x:c r="J281" s="60" t="str">
        <x:v>Digestion of food in our body</x:v>
      </x:c>
      <x:c r="K281" s="60" t="str">
        <x:v>C</x:v>
      </x:c>
      <x:c r="L281" s="60" t="str">
        <x:v>Dissolution of ammonium chloride in water</x:v>
      </x:c>
      <x:c r="M281" s="60" t="str">
        <x:v>The scientific principle described in “Which of the following is an example” supports Dissolution of ammonium chloride in water.</x:v>
      </x:c>
      <x:c r="N281" s="60" t="str">
        <x:v>Z1XYW/2</x:v>
      </x:c>
      <x:c r="O281" s="60" t="str">
        <x:v>Science</x:v>
      </x:c>
      <x:c r="P281" s="60" t="str">
        <x:v>Automated structural screening passed. Rewrite the explanation to teach the reasoning before publication.</x:v>
      </x:c>
    </x:row>
    <x:row r="282">
      <x:c r="A282" s="60" t="str">
        <x:v>QB-0540</x:v>
      </x:c>
      <x:c r="B282" s="62" t="n">
        <x:v>540</x:v>
      </x:c>
      <x:c r="C282" s="60" t="str">
        <x:v>Science</x:v>
      </x:c>
      <x:c r="D282" s="60" t="str">
        <x:v>Medium</x:v>
      </x:c>
      <x:c r="E282" s="60" t="str">
        <x:v>Chemistry</x:v>
      </x:c>
      <x:c r="F282" s="60" t="str">
        <x:v>A metal ribbon ‘X’ burns in oxygen with a dazzling white flame forming a white ash ‘Y’. The correct description of X, Y and the type of reaction is:</x:v>
      </x:c>
      <x:c r="G282" s="60" t="str">
        <x:v>X = Ca ; Y = CaO ; Type of reaction = Decomposi tion</x:v>
      </x:c>
      <x:c r="H282" s="60" t="str">
        <x:v>X = Mg ; Y = MgO ; Type of reaction = Combinati on</x:v>
      </x:c>
      <x:c r="I282" s="60" t="str">
        <x:v>X = Al ; Y = Al 2O3 ; Type of reaction = Thermal decomposition</x:v>
      </x:c>
      <x:c r="J282" s="60" t="str">
        <x:v>X = Zn ; Y = ZnO ; Type of reaction = Endotherm ic</x:v>
      </x:c>
      <x:c r="K282" s="60" t="str">
        <x:v>B</x:v>
      </x:c>
      <x:c r="L282" s="60" t="str">
        <x:v>X = Mg ; Y = MgO ; Type of reaction = Combinati on</x:v>
      </x:c>
      <x:c r="M282" s="60" t="str">
        <x:v>The chemical property or reaction shown identifies X = Mg ; Y = MgO ; Type of reaction = Combinati on.</x:v>
      </x:c>
      <x:c r="N282" s="60" t="str">
        <x:v>Z1XYW/4</x:v>
      </x:c>
      <x:c r="O282" s="60" t="str">
        <x:v>Science</x:v>
      </x:c>
      <x:c r="P282" s="60" t="str">
        <x:v>Automated structural screening passed. Rewrite the explanation to teach the reasoning before publication.</x:v>
      </x:c>
    </x:row>
    <x:row r="283">
      <x:c r="A283" s="60" t="str">
        <x:v>QB-0541</x:v>
      </x:c>
      <x:c r="B283" s="62" t="n">
        <x:v>541</x:v>
      </x:c>
      <x:c r="C283" s="60" t="str">
        <x:v>Science</x:v>
      </x:c>
      <x:c r="D283" s="60" t="str">
        <x:v>Medium</x:v>
      </x:c>
      <x:c r="E283" s="60" t="str">
        <x:v>Chemistry</x:v>
      </x:c>
      <x:c r="F283" s="60" t="str">
        <x:v>Acid present in tomato is:</x:v>
      </x:c>
      <x:c r="G283" s="60" t="str">
        <x:v>Methanoic acid</x:v>
      </x:c>
      <x:c r="H283" s="60" t="str">
        <x:v>Acetic acid</x:v>
      </x:c>
      <x:c r="I283" s="60" t="str">
        <x:v>Lactic acid</x:v>
      </x:c>
      <x:c r="J283" s="60" t="str">
        <x:v>Oxalic acid</x:v>
      </x:c>
      <x:c r="K283" s="60" t="str">
        <x:v>D</x:v>
      </x:c>
      <x:c r="L283" s="60" t="str">
        <x:v>Oxalic acid</x:v>
      </x:c>
      <x:c r="M283" s="60" t="str">
        <x:v>The chemical property or reaction shown identifies Oxalic acid.</x:v>
      </x:c>
      <x:c r="N283" s="60" t="str">
        <x:v>Z1XYW/4</x:v>
      </x:c>
      <x:c r="O283" s="60" t="str">
        <x:v>Science</x:v>
      </x:c>
      <x:c r="P283" s="60" t="str">
        <x:v>Automated structural screening passed. Rewrite the explanation to teach the reasoning before publication.</x:v>
      </x:c>
    </x:row>
    <x:row r="284">
      <x:c r="A284" s="60" t="str">
        <x:v>QB-0542</x:v>
      </x:c>
      <x:c r="B284" s="62" t="n">
        <x:v>542</x:v>
      </x:c>
      <x:c r="C284" s="60" t="str">
        <x:v>Science</x:v>
      </x:c>
      <x:c r="D284" s="60" t="str">
        <x:v>Medium</x:v>
      </x:c>
      <x:c r="E284" s="60" t="str">
        <x:v>Life Processes</x:v>
      </x:c>
      <x:c r="F284" s="60" t="str">
        <x:v>In plants the role of cytokinin is:</x:v>
      </x:c>
      <x:c r="G284" s="60" t="str">
        <x:v>Promote cell division.</x:v>
      </x:c>
      <x:c r="H284" s="60" t="str">
        <x:v>Wilting of leaves.</x:v>
      </x:c>
      <x:c r="I284" s="60" t="str">
        <x:v>Promote the opening of stomatal pore.</x:v>
      </x:c>
      <x:c r="J284" s="60" t="str">
        <x:v>Help in the growth of stem.</x:v>
      </x:c>
      <x:c r="K284" s="60" t="str">
        <x:v>A</x:v>
      </x:c>
      <x:c r="L284" s="60" t="str">
        <x:v>Promote cell division.</x:v>
      </x:c>
      <x:c r="M284" s="60" t="str">
        <x:v>The described biological process supports Promote cell division..</x:v>
      </x:c>
      <x:c r="N284" s="60" t="str">
        <x:v>Z1XYW/4</x:v>
      </x:c>
      <x:c r="O284" s="60" t="str">
        <x:v>Science</x:v>
      </x:c>
      <x:c r="P284" s="60" t="str">
        <x:v>Automated structural screening passed. Rewrite the explanation to teach the reasoning before publication.</x:v>
      </x:c>
    </x:row>
    <x:row r="285">
      <x:c r="A285" s="60" t="str">
        <x:v>QB-0543</x:v>
      </x:c>
      <x:c r="B285" s="62" t="n">
        <x:v>543</x:v>
      </x:c>
      <x:c r="C285" s="60" t="str">
        <x:v>Science</x:v>
      </x:c>
      <x:c r="D285" s="60" t="str">
        <x:v>Easy</x:v>
      </x:c>
      <x:c r="E285" s="60" t="str">
        <x:v>General Science</x:v>
      </x:c>
      <x:c r="F285" s="60" t="str">
        <x:v>Opening and closing of stomata is due to:</x:v>
      </x:c>
      <x:c r="G285" s="60" t="str">
        <x:v>High pressure of gases inside the cells.</x:v>
      </x:c>
      <x:c r="H285" s="60" t="str">
        <x:v>Movement of water in and out of the guard cells .</x:v>
      </x:c>
      <x:c r="I285" s="60" t="str">
        <x:v>Stimulus of light in the guard cells.</x:v>
      </x:c>
      <x:c r="J285" s="60" t="str">
        <x:v>Diffusion of CO 2 in and out of the guard cells.</x:v>
      </x:c>
      <x:c r="K285" s="60" t="str">
        <x:v>B</x:v>
      </x:c>
      <x:c r="L285" s="60" t="str">
        <x:v>Movement of water in and out of the guard cells .</x:v>
      </x:c>
      <x:c r="M285" s="60" t="str">
        <x:v>The described biological process supports Movement of water in and out of the guard cells ..</x:v>
      </x:c>
      <x:c r="N285" s="60" t="str">
        <x:v>Z1XYW/4</x:v>
      </x:c>
      <x:c r="O285" s="60" t="str">
        <x:v>Science</x:v>
      </x:c>
      <x:c r="P285" s="60" t="str">
        <x:v>Automated structural screening passed. Rewrite the explanation to teach the reasoning before publication.</x:v>
      </x:c>
    </x:row>
    <x:row r="286">
      <x:c r="A286" s="60" t="str">
        <x:v>QB-0544</x:v>
      </x:c>
      <x:c r="B286" s="62" t="n">
        <x:v>544</x:v>
      </x:c>
      <x:c r="C286" s="60" t="str">
        <x:v>Science</x:v>
      </x:c>
      <x:c r="D286" s="60" t="str">
        <x:v>Medium</x:v>
      </x:c>
      <x:c r="E286" s="60" t="str">
        <x:v>Chemistry</x:v>
      </x:c>
      <x:c r="F286" s="60" t="str">
        <x:v>Sodium hydroxide is termed an alkali while Ferric hydroxide is not because:</x:v>
      </x:c>
      <x:c r="G286" s="60" t="str">
        <x:v>Sodium hydroxide is a strong base, while Ferric hydroxide is a weak base.</x:v>
      </x:c>
      <x:c r="H286" s="60" t="str">
        <x:v>Sodium hydroxide is a base which is soluble in water while Ferric hydroxide is also a base but it is not soluble in water.</x:v>
      </x:c>
      <x:c r="I286" s="60" t="str">
        <x:v>Sodium hydroxide is a strong base while Ferric hydroxide is a strong acid.</x:v>
      </x:c>
      <x:c r="J286" s="60" t="str">
        <x:v>Sodium hydroxide and Ferric hydroxide both are strong base but the solubility of Sodium hydroxide in water is comparat ively higher than that of Ferric hydroxide.</x:v>
      </x:c>
      <x:c r="K286" s="60" t="str">
        <x:v>B</x:v>
      </x:c>
      <x:c r="L286" s="60" t="str">
        <x:v>Sodium hydroxide is a base which is soluble in water while Ferric hydroxide is also a base but it is not soluble in water.</x:v>
      </x:c>
      <x:c r="M286" s="60" t="str">
        <x:v>The chemical property or reaction shown identifies Sodium hydroxide is a base which is soluble in water while Ferric hydroxide is also a base but it is not soluble in water..</x:v>
      </x:c>
      <x:c r="N286" s="60" t="str">
        <x:v>Z1XYW/4</x:v>
      </x:c>
      <x:c r="O286" s="60" t="str">
        <x:v>Science</x:v>
      </x:c>
      <x:c r="P286" s="60" t="str">
        <x:v>Automated structural screening passed. Rewrite the explanation to teach the reasoning before publication.</x:v>
      </x:c>
    </x:row>
    <x:row r="287">
      <x:c r="A287" s="60" t="str">
        <x:v>QB-0545</x:v>
      </x:c>
      <x:c r="B287" s="62" t="n">
        <x:v>545</x:v>
      </x:c>
      <x:c r="C287" s="60" t="str">
        <x:v>Science</x:v>
      </x:c>
      <x:c r="D287" s="60" t="str">
        <x:v>Medium</x:v>
      </x:c>
      <x:c r="E287" s="60" t="str">
        <x:v>Chemistry</x:v>
      </x:c>
      <x:c r="F287" s="60" t="str">
        <x:v>The name of the salt used to remove permanent hard ness of water is:</x:v>
      </x:c>
      <x:c r="G287" s="60" t="str">
        <x:v>Sodium hydrogen carbonate (NaHCO</x:v>
      </x:c>
      <x:c r="H287" s="60" t="str">
        <x:v>Sodium chloride (NaCl)</x:v>
      </x:c>
      <x:c r="I287" s="60" t="str">
        <x:v>Sodium carbonate decahydrate (Na 2CO 3.10H 2O)</x:v>
      </x:c>
      <x:c r="J287" s="60" t="str">
        <x:v>Calcium sulphate hemihydrate (CaSO</x:v>
      </x:c>
      <x:c r="K287" s="60" t="str">
        <x:v>C</x:v>
      </x:c>
      <x:c r="L287" s="60" t="str">
        <x:v>Sodium carbonate decahydrate (Na 2CO 3.10H 2O)</x:v>
      </x:c>
      <x:c r="M287" s="60" t="str">
        <x:v>The scientific principle described in “The name of the salt used to” supports Sodium carbonate decahydrate (Na 2CO 3.10H 2O).</x:v>
      </x:c>
      <x:c r="N287" s="60" t="str">
        <x:v>Z1XYW/4</x:v>
      </x:c>
      <x:c r="O287" s="60" t="str">
        <x:v>Science</x:v>
      </x:c>
      <x:c r="P287" s="60" t="str">
        <x:v>Automated structural screening passed. Rewrite the explanation to teach the reasoning before publication.</x:v>
      </x:c>
    </x:row>
    <x:row r="288">
      <x:c r="A288" s="60" t="str">
        <x:v>QB-0546</x:v>
      </x:c>
      <x:c r="B288" s="62" t="n">
        <x:v>546</x:v>
      </x:c>
      <x:c r="C288" s="60" t="str">
        <x:v>Science</x:v>
      </x:c>
      <x:c r="D288" s="60" t="str">
        <x:v>Hard</x:v>
      </x:c>
      <x:c r="E288" s="60" t="str">
        <x:v>Genetics &amp; Reproduction</x:v>
      </x:c>
      <x:c r="F288" s="60" t="str">
        <x:v>The number of chromosomes in parents and offspring s of a particular species undergoing sexual reproduction remain constant due to:</x:v>
      </x:c>
      <x:c r="G288" s="60" t="str">
        <x:v>doubling of chromosomes after zygote formation.</x:v>
      </x:c>
      <x:c r="H288" s="60" t="str">
        <x:v>halving of chromosomes after zygote formation.</x:v>
      </x:c>
      <x:c r="I288" s="60" t="str">
        <x:v>doubling of chromosomes before gamete formation .</x:v>
      </x:c>
      <x:c r="J288" s="60" t="str">
        <x:v>halving of chromosomes at the time of gamete fo rmation.</x:v>
      </x:c>
      <x:c r="K288" s="60" t="str">
        <x:v>D</x:v>
      </x:c>
      <x:c r="L288" s="60" t="str">
        <x:v>halving of chromosomes at the time of gamete fo rmation.</x:v>
      </x:c>
      <x:c r="M288" s="60" t="str">
        <x:v>The described biological process supports halving of chromosomes at the time of gamete fo rmation..</x:v>
      </x:c>
      <x:c r="N288" s="60" t="str">
        <x:v>Z1XYW/4</x:v>
      </x:c>
      <x:c r="O288" s="60" t="str">
        <x:v>Science</x:v>
      </x:c>
      <x:c r="P288" s="60" t="str">
        <x:v>Automated structural screening passed. Rewrite the explanation to teach the reasoning before publication.</x:v>
      </x:c>
    </x:row>
    <x:row r="289">
      <x:c r="A289" s="60" t="str">
        <x:v>QB-0548</x:v>
      </x:c>
      <x:c r="B289" s="62" t="n">
        <x:v>548</x:v>
      </x:c>
      <x:c r="C289" s="60" t="str">
        <x:v>Science</x:v>
      </x:c>
      <x:c r="D289" s="60" t="str">
        <x:v>Hard</x:v>
      </x:c>
      <x:c r="E289" s="60" t="str">
        <x:v>Electricity &amp; Magnetism</x:v>
      </x:c>
      <x:c r="F289" s="60" t="str">
        <x:v>Two LED bulbs of 12W and 6W are connected in serie s. If the current through 12W bulb is 0.06A the current through 6W bulb will be:</x:v>
      </x:c>
      <x:c r="G289" s="60" t="str">
        <x:v>0.04A</x:v>
      </x:c>
      <x:c r="H289" s="60" t="str">
        <x:v>0.06A</x:v>
      </x:c>
      <x:c r="I289" s="60" t="str">
        <x:v>0.08A</x:v>
      </x:c>
      <x:c r="J289" s="60" t="str">
        <x:v>0.12A</x:v>
      </x:c>
      <x:c r="K289" s="60" t="str">
        <x:v>B</x:v>
      </x:c>
      <x:c r="L289" s="60" t="str">
        <x:v>0.06A</x:v>
      </x:c>
      <x:c r="M289" s="60" t="str">
        <x:v>The stated electricity or magnetism rule gives 0.06A.</x:v>
      </x:c>
      <x:c r="N289" s="60" t="str">
        <x:v>Z1XYW/4</x:v>
      </x:c>
      <x:c r="O289" s="60" t="str">
        <x:v>Science</x:v>
      </x:c>
      <x:c r="P289" s="60" t="str">
        <x:v>Automated structural screening passed. Rewrite the explanation to teach the reasoning before publication.</x:v>
      </x:c>
    </x:row>
    <x:row r="290">
      <x:c r="A290" s="60" t="str">
        <x:v>QB-0549</x:v>
      </x:c>
      <x:c r="B290" s="62" t="n">
        <x:v>549</x:v>
      </x:c>
      <x:c r="C290" s="60" t="str">
        <x:v>Science</x:v>
      </x:c>
      <x:c r="D290" s="60" t="str">
        <x:v>Medium</x:v>
      </x:c>
      <x:c r="E290" s="60" t="str">
        <x:v>Chemistry</x:v>
      </x:c>
      <x:c r="F290" s="60" t="str">
        <x:v>When aqueous solutions of potassium iodide and lea d nitrate are mixed, an insoluble substance separates out. The chemical equ ation for the reaction involved is:</x:v>
      </x:c>
      <x:c r="G290" s="60" t="str">
        <x:v>KI + PbNO 3 PbI + KNO 3</x:v>
      </x:c>
      <x:c r="H290" s="60" t="str">
        <x:v>2KI + Pb(NO 3)2 PbI 2 + 2KNO 3</x:v>
      </x:c>
      <x:c r="I290" s="60" t="str">
        <x:v>KI + Pb(NO 3)2 PbI + KNO 3</x:v>
      </x:c>
      <x:c r="J290" s="60" t="str">
        <x:v>KI + PbNO 3 PbI 2 + KNO 3</x:v>
      </x:c>
      <x:c r="K290" s="60" t="str">
        <x:v>B</x:v>
      </x:c>
      <x:c r="L290" s="60" t="str">
        <x:v>2KI + Pb(NO 3)2 PbI 2 + 2KNO 3</x:v>
      </x:c>
      <x:c r="M290" s="60" t="str">
        <x:v>The chemical property or reaction shown identifies 2KI + Pb(NO 3)2 PbI 2 + 2KNO 3.</x:v>
      </x:c>
      <x:c r="N290" s="60" t="str">
        <x:v>Z1XYW/4</x:v>
      </x:c>
      <x:c r="O290" s="60" t="str">
        <x:v>Science</x:v>
      </x:c>
      <x:c r="P290" s="60" t="str">
        <x:v>Automated structural screening passed. Rewrite the explanation to teach the reasoning before publication.</x:v>
      </x:c>
    </x:row>
    <x:row r="291">
      <x:c r="A291" s="60" t="str">
        <x:v>QB-0550</x:v>
      </x:c>
      <x:c r="B291" s="62" t="n">
        <x:v>550</x:v>
      </x:c>
      <x:c r="C291" s="60" t="str">
        <x:v>Science</x:v>
      </x:c>
      <x:c r="D291" s="60" t="str">
        <x:v>Medium</x:v>
      </x:c>
      <x:c r="E291" s="60" t="str">
        <x:v>Chemistry</x:v>
      </x:c>
      <x:c r="F291" s="60" t="str">
        <x:v>When Sodium bicarbonate reacts with dilute hydroch loric acid, the gas evolved is:</x:v>
      </x:c>
      <x:c r="G291" s="60" t="str">
        <x:v>Hydrogen; it gives pop sound with burning match stick.</x:v>
      </x:c>
      <x:c r="H291" s="60" t="str">
        <x:v>Hydrogen; it turns lime water milky.</x:v>
      </x:c>
      <x:c r="I291" s="60" t="str">
        <x:v>Carbon dioxide; it turns lime water milky.</x:v>
      </x:c>
      <x:c r="J291" s="60" t="str">
        <x:v>Carbon dioxide; it blows off a burning match st ick with a pop sound.</x:v>
      </x:c>
      <x:c r="K291" s="60" t="str">
        <x:v>C</x:v>
      </x:c>
      <x:c r="L291" s="60" t="str">
        <x:v>Carbon dioxide; it turns lime water milky.</x:v>
      </x:c>
      <x:c r="M291" s="60" t="str">
        <x:v>The chemical property or reaction shown identifies Carbon dioxide; it turns lime water milky..</x:v>
      </x:c>
      <x:c r="N291" s="60" t="str">
        <x:v>Z1XYW/4</x:v>
      </x:c>
      <x:c r="O291" s="60" t="str">
        <x:v>Science</x:v>
      </x:c>
      <x:c r="P291" s="60" t="str">
        <x:v>Automated structural screening passed. Rewrite the explanation to teach the reasoning before publication.</x:v>
      </x:c>
    </x:row>
    <x:row r="292">
      <x:c r="A292" s="60" t="str">
        <x:v>QB-0551</x:v>
      </x:c>
      <x:c r="B292" s="62" t="n">
        <x:v>551</x:v>
      </x:c>
      <x:c r="C292" s="60" t="str">
        <x:v>Science</x:v>
      </x:c>
      <x:c r="D292" s="60" t="str">
        <x:v>Easy</x:v>
      </x:c>
      <x:c r="E292" s="60" t="str">
        <x:v>General Science</x:v>
      </x:c>
      <x:c r="F292" s="60" t="str">
        <x:v>The bacterial and the viral infections that may be caused due to unsafe sex respectively are</x:v>
      </x:c>
      <x:c r="G292" s="60" t="str">
        <x:v>Warts and HIV-AIDS</x:v>
      </x:c>
      <x:c r="H292" s="60" t="str">
        <x:v>HIV-AIDS and Warts</x:v>
      </x:c>
      <x:c r="I292" s="60" t="str">
        <x:v>Gonorrhoea and Syphilis</x:v>
      </x:c>
      <x:c r="J292" s="60" t="str">
        <x:v>Syphilis and Warts</x:v>
      </x:c>
      <x:c r="K292" s="60" t="str">
        <x:v>D</x:v>
      </x:c>
      <x:c r="L292" s="60" t="str">
        <x:v>Syphilis and Warts</x:v>
      </x:c>
      <x:c r="M292" s="60" t="str">
        <x:v>The scientific principle described in “The bacterial and the viral infections that” supports Syphilis and Warts.</x:v>
      </x:c>
      <x:c r="N292" s="60" t="str">
        <x:v>Z1XYW/5</x:v>
      </x:c>
      <x:c r="O292" s="60" t="str">
        <x:v>Science</x:v>
      </x:c>
      <x:c r="P292" s="60" t="str">
        <x:v>Automated structural screening passed. Rewrite the explanation to teach the reasoning before publication.</x:v>
      </x:c>
    </x:row>
    <x:row r="293">
      <x:c r="A293" s="60" t="str">
        <x:v>QB-0553</x:v>
      </x:c>
      <x:c r="B293" s="62" t="n">
        <x:v>553</x:v>
      </x:c>
      <x:c r="C293" s="60" t="str">
        <x:v>Science</x:v>
      </x:c>
      <x:c r="D293" s="60" t="str">
        <x:v>Easy</x:v>
      </x:c>
      <x:c r="E293" s="60" t="str">
        <x:v>General Science</x:v>
      </x:c>
      <x:c r="F293" s="60" t="str">
        <x:v>As compared to terrestrial organisms, the rate of breathing in aquatic organisms is</x:v>
      </x:c>
      <x:c r="G293" s="60" t="str">
        <x:v>faster because they need more oxygen for their survival.</x:v>
      </x:c>
      <x:c r="H293" s="60" t="str">
        <x:v>faster because the amount of dissolved oxygen in water is fairly low.</x:v>
      </x:c>
      <x:c r="I293" s="60" t="str">
        <x:v>slower because the amount of dissolved oxygen in water is fairly low.</x:v>
      </x:c>
      <x:c r="J293" s="60" t="str">
        <x:v>slower because the capacity of water of dissolving atmospheric air is limited.</x:v>
      </x:c>
      <x:c r="K293" s="60" t="str">
        <x:v>B</x:v>
      </x:c>
      <x:c r="L293" s="60" t="str">
        <x:v>faster because the amount of dissolved oxygen in water is fairly low.</x:v>
      </x:c>
      <x:c r="M293" s="60" t="str">
        <x:v>The scientific principle described in “As compared to terrestrial organisms the rate” supports faster because the amount of dissolved oxygen in water is fairly low..</x:v>
      </x:c>
      <x:c r="N293" s="60" t="str">
        <x:v>Z1XYW/5</x:v>
      </x:c>
      <x:c r="O293" s="60" t="str">
        <x:v>Science</x:v>
      </x:c>
      <x:c r="P293" s="60" t="str">
        <x:v>Automated structural screening passed. Rewrite the explanation to teach the reasoning before publication.</x:v>
      </x:c>
    </x:row>
    <x:row r="294">
      <x:c r="A294" s="60" t="str">
        <x:v>QB-0554</x:v>
      </x:c>
      <x:c r="B294" s="62" t="n">
        <x:v>554</x:v>
      </x:c>
      <x:c r="C294" s="60" t="str">
        <x:v>Science</x:v>
      </x:c>
      <x:c r="D294" s="60" t="str">
        <x:v>Medium</x:v>
      </x:c>
      <x:c r="E294" s="60" t="str">
        <x:v>General Science</x:v>
      </x:c>
      <x:c r="F294" s="60" t="str">
        <x:v>Consider the following two statements : (i) The trait that expresses itself in F1 generation. (ii) The trait that keeps on passing from one generation to another. The appropriate terms for the statements (i) and (ii) respectively are</x:v>
      </x:c>
      <x:c r="G294" s="60" t="str">
        <x:v>Recessive trait, Dominant trait</x:v>
      </x:c>
      <x:c r="H294" s="60" t="str">
        <x:v>Dominant trait, Recessive trait</x:v>
      </x:c>
      <x:c r="I294" s="60" t="str">
        <x:v>Dominant trait, Inherited trait</x:v>
      </x:c>
      <x:c r="J294" s="60" t="str">
        <x:v>Recessive trait, Inherited trait</x:v>
      </x:c>
      <x:c r="K294" s="60" t="str">
        <x:v>C</x:v>
      </x:c>
      <x:c r="L294" s="60" t="str">
        <x:v>Dominant trait, Inherited trait</x:v>
      </x:c>
      <x:c r="M294" s="60" t="str">
        <x:v>The scientific principle described in “Consider the following two statements i The” supports Dominant trait, Inherited trait.</x:v>
      </x:c>
      <x:c r="N294" s="60" t="str">
        <x:v>Z1XYW/5</x:v>
      </x:c>
      <x:c r="O294" s="60" t="str">
        <x:v>Science</x:v>
      </x:c>
      <x:c r="P294" s="60" t="str">
        <x:v>Automated structural screening passed. Rewrite the explanation to teach the reasoning before publication.</x:v>
      </x:c>
    </x:row>
    <x:row r="295">
      <x:c r="A295" s="60" t="str">
        <x:v>QB-0555</x:v>
      </x:c>
      <x:c r="B295" s="62" t="n">
        <x:v>555</x:v>
      </x:c>
      <x:c r="C295" s="60" t="str">
        <x:v>Science</x:v>
      </x:c>
      <x:c r="D295" s="60" t="str">
        <x:v>Medium</x:v>
      </x:c>
      <x:c r="E295" s="60" t="str">
        <x:v>Chemistry</x:v>
      </x:c>
      <x:c r="F295" s="60" t="str">
        <x:v>Hydronium ions are formed by the reaction between</x:v>
      </x:c>
      <x:c r="G295" s="60" t="str">
        <x:v>Sodium hydroxide and water</x:v>
      </x:c>
      <x:c r="H295" s="60" t="str">
        <x:v>Calcium chloride and water</x:v>
      </x:c>
      <x:c r="I295" s="60" t="str">
        <x:v>Hydrogen chloride gas and water</x:v>
      </x:c>
      <x:c r="J295" s="60" t="str">
        <x:v>Ethanol and water</x:v>
      </x:c>
      <x:c r="K295" s="60" t="str">
        <x:v>C</x:v>
      </x:c>
      <x:c r="L295" s="60" t="str">
        <x:v>Hydrogen chloride gas and water</x:v>
      </x:c>
      <x:c r="M295" s="60" t="str">
        <x:v>The chemical property or reaction shown identifies Hydrogen chloride gas and water.</x:v>
      </x:c>
      <x:c r="N295" s="60" t="str">
        <x:v>Z1XYW/5</x:v>
      </x:c>
      <x:c r="O295" s="60" t="str">
        <x:v>Science</x:v>
      </x:c>
      <x:c r="P295" s="60" t="str">
        <x:v>Automated structural screening passed. Rewrite the explanation to teach the reasoning before publication.</x:v>
      </x:c>
    </x:row>
    <x:row r="296">
      <x:c r="A296" s="60" t="str">
        <x:v>QB-0556</x:v>
      </x:c>
      <x:c r="B296" s="62" t="n">
        <x:v>556</x:v>
      </x:c>
      <x:c r="C296" s="60" t="str">
        <x:v>Science</x:v>
      </x:c>
      <x:c r="D296" s="60" t="str">
        <x:v>Easy</x:v>
      </x:c>
      <x:c r="E296" s="60" t="str">
        <x:v>General Science</x:v>
      </x:c>
      <x:c r="F296" s="60" t="str">
        <x:v>Select a pair of olfactory indicators from the following</x:v>
      </x:c>
      <x:c r="G296" s="60" t="str">
        <x:v>Clove oil and vanilla essence</x:v>
      </x:c>
      <x:c r="H296" s="60" t="str">
        <x:v>Onion and turmeric</x:v>
      </x:c>
      <x:c r="I296" s="60" t="str">
        <x:v>Clove oil and litmus solution</x:v>
      </x:c>
      <x:c r="J296" s="60" t="str">
        <x:v>Vanilla and methyl orange</x:v>
      </x:c>
      <x:c r="K296" s="60" t="str">
        <x:v>A</x:v>
      </x:c>
      <x:c r="L296" s="60" t="str">
        <x:v>Clove oil and vanilla essence</x:v>
      </x:c>
      <x:c r="M296" s="60" t="str">
        <x:v>The scientific principle described in “Select a pair of olfactory indicators from” supports Clove oil and vanilla essence.</x:v>
      </x:c>
      <x:c r="N296" s="60" t="str">
        <x:v>Z1XYW/5</x:v>
      </x:c>
      <x:c r="O296" s="60" t="str">
        <x:v>Science</x:v>
      </x:c>
      <x:c r="P296" s="60" t="str">
        <x:v>Automated structural screening passed. Rewrite the explanation to teach the reasoning before publication.</x:v>
      </x:c>
    </x:row>
    <x:row r="297">
      <x:c r="A297" s="60" t="str">
        <x:v>QB-0557</x:v>
      </x:c>
      <x:c r="B297" s="62" t="n">
        <x:v>557</x:v>
      </x:c>
      <x:c r="C297" s="60" t="str">
        <x:v>Science</x:v>
      </x:c>
      <x:c r="D297" s="60" t="str">
        <x:v>Medium</x:v>
      </x:c>
      <x:c r="E297" s="60" t="str">
        <x:v>Chemistry</x:v>
      </x:c>
      <x:c r="F297" s="60" t="str">
        <x:v>Study the following chemical reaction : 2 Na (s) + 2 H2O (l) 2 NaOH (aq) + H2 (g) The reducing agent in this reaction is</x:v>
      </x:c>
      <x:c r="G297" s="60" t="str">
        <x:v>Na</x:v>
      </x:c>
      <x:c r="H297" s="60" t="str">
        <x:v>H2O</x:v>
      </x:c>
      <x:c r="I297" s="60" t="str">
        <x:v>NaOH</x:v>
      </x:c>
      <x:c r="J297" s="60" t="str">
        <x:v>H2</x:v>
      </x:c>
      <x:c r="K297" s="60" t="str">
        <x:v>A</x:v>
      </x:c>
      <x:c r="L297" s="60" t="str">
        <x:v>Na</x:v>
      </x:c>
      <x:c r="M297" s="60" t="str">
        <x:v>The chemical property or reaction shown identifies Na.</x:v>
      </x:c>
      <x:c r="N297" s="60" t="str">
        <x:v>Z1XYW/5</x:v>
      </x:c>
      <x:c r="O297" s="60" t="str">
        <x:v>Science</x:v>
      </x:c>
      <x:c r="P297" s="60" t="str">
        <x:v>Automated structural screening passed. Rewrite the explanation to teach the reasoning before publication.</x:v>
      </x:c>
    </x:row>
    <x:row r="298">
      <x:c r="A298" s="60" t="str">
        <x:v>QB-0558</x:v>
      </x:c>
      <x:c r="B298" s="62" t="n">
        <x:v>558</x:v>
      </x:c>
      <x:c r="C298" s="60" t="str">
        <x:v>Science</x:v>
      </x:c>
      <x:c r="D298" s="60" t="str">
        <x:v>Medium</x:v>
      </x:c>
      <x:c r="E298" s="60" t="str">
        <x:v>Chemistry</x:v>
      </x:c>
      <x:c r="F298" s="60" t="str">
        <x:v>The balanced chemical equation showing reaction between quicklime and water is</x:v>
      </x:c>
      <x:c r="G298" s="60" t="str">
        <x:v>2 CaO + H2O 2 CaOH + H2 + Heat</x:v>
      </x:c>
      <x:c r="H298" s="60" t="str">
        <x:v>CaO + H2O Ca(OH)2 + H2 + Heat</x:v>
      </x:c>
      <x:c r="I298" s="60" t="str">
        <x:v>CaO + H2O Ca(OH)2 + Heat</x:v>
      </x:c>
      <x:c r="J298" s="60" t="str">
        <x:v>2 CaO + 3 H2O 2 Ca(OH)3 + O2 + Heat</x:v>
      </x:c>
      <x:c r="K298" s="60" t="str">
        <x:v>C</x:v>
      </x:c>
      <x:c r="L298" s="60" t="str">
        <x:v>CaO + H2O Ca(OH)2 + Heat</x:v>
      </x:c>
      <x:c r="M298" s="60" t="str">
        <x:v>The chemical property or reaction shown identifies CaO + H2O Ca(OH)2 + Heat.</x:v>
      </x:c>
      <x:c r="N298" s="60" t="str">
        <x:v>Z1XYW/5</x:v>
      </x:c>
      <x:c r="O298" s="60" t="str">
        <x:v>Science</x:v>
      </x:c>
      <x:c r="P298" s="60" t="str">
        <x:v>Automated structural screening passed. Rewrite the explanation to teach the reasoning before publication.</x:v>
      </x:c>
    </x:row>
    <x:row r="299">
      <x:c r="A299" s="60" t="str">
        <x:v>QB-0559</x:v>
      </x:c>
      <x:c r="B299" s="62" t="n">
        <x:v>559</x:v>
      </x:c>
      <x:c r="C299" s="60" t="str">
        <x:v>Science</x:v>
      </x:c>
      <x:c r="D299" s="60" t="str">
        <x:v>Medium</x:v>
      </x:c>
      <x:c r="E299" s="60" t="str">
        <x:v>General Science</x:v>
      </x:c>
      <x:c r="F299" s="60" t="str">
        <x:v>The expressions that relate (i) Q, I and t and (ii) Q, V and W respectively are (Here the symbols have their usual meanings)</x:v>
      </x:c>
      <x:c r="G299" s="60" t="str">
        <x:v>(i) I = tQ (ii) W = QV</x:v>
      </x:c>
      <x:c r="H299" s="60" t="str">
        <x:v>(i) Q = I t (ii) W = V Q</x:v>
      </x:c>
      <x:c r="I299" s="60" t="str">
        <x:v>(i) Q = tI (ii) V = QW</x:v>
      </x:c>
      <x:c r="J299" s="60" t="str">
        <x:v>(i) I = tQ (ii) Q = WV</x:v>
      </x:c>
      <x:c r="K299" s="60" t="str">
        <x:v>B</x:v>
      </x:c>
      <x:c r="L299" s="60" t="str">
        <x:v>(i) Q = I t (ii) W = V Q</x:v>
      </x:c>
      <x:c r="M299" s="60" t="str">
        <x:v>The scientific principle described in “The expressions that relate i Q I” supports (i) Q = I t (ii) W = V Q.</x:v>
      </x:c>
      <x:c r="N299" s="60" t="str">
        <x:v>Z1XYW/5</x:v>
      </x:c>
      <x:c r="O299" s="60" t="str">
        <x:v>Science</x:v>
      </x:c>
      <x:c r="P299" s="60" t="str">
        <x:v>Automated structural screening passed. Rewrite the explanation to teach the reasoning before publication.</x:v>
      </x:c>
    </x:row>
    <x:row r="300">
      <x:c r="A300" s="60" t="str">
        <x:v>QB-0560</x:v>
      </x:c>
      <x:c r="B300" s="62" t="n">
        <x:v>560</x:v>
      </x:c>
      <x:c r="C300" s="60" t="str">
        <x:v>Science</x:v>
      </x:c>
      <x:c r="D300" s="60" t="str">
        <x:v>Easy</x:v>
      </x:c>
      <x:c r="E300" s="60" t="str">
        <x:v>General Science</x:v>
      </x:c>
      <x:c r="F300" s="60" t="str">
        <x:v>The part in which gustatory receptors are present in our body is</x:v>
      </x:c>
      <x:c r="G300" s="60" t="str">
        <x:v>inner ear</x:v>
      </x:c>
      <x:c r="H300" s="60" t="str">
        <x:v>skin</x:v>
      </x:c>
      <x:c r="I300" s="60" t="str">
        <x:v>tongue</x:v>
      </x:c>
      <x:c r="J300" s="60" t="str">
        <x:v>inner lining of nose</x:v>
      </x:c>
      <x:c r="K300" s="60" t="str">
        <x:v>C</x:v>
      </x:c>
      <x:c r="L300" s="60" t="str">
        <x:v>tongue</x:v>
      </x:c>
      <x:c r="M300" s="60" t="str">
        <x:v>The scientific principle described in “The part in which gustatory receptors are” supports tongue.</x:v>
      </x:c>
      <x:c r="N300" s="60" t="str">
        <x:v>Z1XYW/5</x:v>
      </x:c>
      <x:c r="O300" s="60" t="str">
        <x:v>Science</x:v>
      </x:c>
      <x:c r="P300" s="60" t="str">
        <x:v>Automated structural screening passed. Rewrite the explanation to teach the reasoning before publication.</x:v>
      </x:c>
    </x:row>
    <x:row r="301">
      <x:c r="A301" s="60" t="str">
        <x:v>QB-0561</x:v>
      </x:c>
      <x:c r="B301" s="62" t="n">
        <x:v>561</x:v>
      </x:c>
      <x:c r="C301" s="60" t="str">
        <x:v>Science</x:v>
      </x:c>
      <x:c r="D301" s="60" t="str">
        <x:v>Medium</x:v>
      </x:c>
      <x:c r="E301" s="60" t="str">
        <x:v>Life Processes</x:v>
      </x:c>
      <x:c r="F301" s="60" t="str">
        <x:v>The process in which loss of water in the form of vapours from the aerial parts of plants takes place is X, which helps in Y. Here X and Y respectively are</x:v>
      </x:c>
      <x:c r="G301" s="60" t="str">
        <x:v>transpiration and photosynthesis.</x:v>
      </x:c>
      <x:c r="H301" s="60" t="str">
        <x:v>transpiration and temperature regulation.</x:v>
      </x:c>
      <x:c r="I301" s="60" t="str">
        <x:v>translocation and movement of soluble products of photosynthesis in phloem.</x:v>
      </x:c>
      <x:c r="J301" s="60" t="str">
        <x:v>translocation and absorption of water and minerals from soil by roots.</x:v>
      </x:c>
      <x:c r="K301" s="60" t="str">
        <x:v>B</x:v>
      </x:c>
      <x:c r="L301" s="60" t="str">
        <x:v>transpiration and temperature regulation.</x:v>
      </x:c>
      <x:c r="M301" s="60" t="str">
        <x:v>The described biological process supports transpiration and temperature regulation..</x:v>
      </x:c>
      <x:c r="N301" s="60" t="str">
        <x:v>Z1XYW/5</x:v>
      </x:c>
      <x:c r="O301" s="60" t="str">
        <x:v>Science</x:v>
      </x:c>
      <x:c r="P301" s="60" t="str">
        <x:v>Automated structural screening passed. Rewrite the explanation to teach the reasoning before publication.</x:v>
      </x:c>
    </x:row>
    <x:row r="302">
      <x:c r="A302" s="60" t="str">
        <x:v>QB-0562</x:v>
      </x:c>
      <x:c r="B302" s="62" t="n">
        <x:v>562</x:v>
      </x:c>
      <x:c r="C302" s="60" t="str">
        <x:v>Science</x:v>
      </x:c>
      <x:c r="D302" s="60" t="str">
        <x:v>Easy</x:v>
      </x:c>
      <x:c r="E302" s="60" t="str">
        <x:v>General Science</x:v>
      </x:c>
      <x:c r="F302" s="60" t="str">
        <x:v>To delay its curdling, a chemical substance is added to it, which is</x:v>
      </x:c>
      <x:c r="G302" s="60" t="str">
        <x:v>Sodium carbonate</x:v>
      </x:c>
      <x:c r="H302" s="60" t="str">
        <x:v>Baking powder</x:v>
      </x:c>
      <x:c r="I302" s="60" t="str">
        <x:v>Sodium hydroxide (Caustic soda)</x:v>
      </x:c>
      <x:c r="J302" s="60" t="str">
        <x:v>Baking soda (Sodium hydrogen carbonate)</x:v>
      </x:c>
      <x:c r="K302" s="60" t="str">
        <x:v>C</x:v>
      </x:c>
      <x:c r="L302" s="60" t="str">
        <x:v>Sodium hydroxide (Caustic soda)</x:v>
      </x:c>
      <x:c r="M302" s="60" t="str">
        <x:v>The scientific principle described in “To delay its curdling a chemical substance” supports Sodium hydroxide (Caustic soda).</x:v>
      </x:c>
      <x:c r="N302" s="60" t="str">
        <x:v>Z1XYW/5</x:v>
      </x:c>
      <x:c r="O302" s="60" t="str">
        <x:v>Science</x:v>
      </x:c>
      <x:c r="P302" s="60" t="str">
        <x:v>Automated structural screening passed. Rewrite the explanation to teach the reasoning before publication.</x:v>
      </x:c>
    </x:row>
    <x:row r="303">
      <x:c r="A303" s="60" t="str">
        <x:v>QB-0563</x:v>
      </x:c>
      <x:c r="B303" s="62" t="n">
        <x:v>563</x:v>
      </x:c>
      <x:c r="C303" s="60" t="str">
        <x:v>Science</x:v>
      </x:c>
      <x:c r="D303" s="60" t="str">
        <x:v>Medium</x:v>
      </x:c>
      <x:c r="E303" s="60" t="str">
        <x:v>Chemistry</x:v>
      </x:c>
      <x:c r="F303" s="60" t="str">
        <x:v>Which of the following statements is true for an amphoteric oxide?</x:v>
      </x:c>
      <x:c r="G303" s="60" t="str">
        <x:v>It reacts only with acid and does not form water.</x:v>
      </x:c>
      <x:c r="H303" s="60" t="str">
        <x:v>It reacts with acid as well as base to form salt and hydrogen gas.</x:v>
      </x:c>
      <x:c r="I303" s="60" t="str">
        <x:v>It reacts with both acid as well as base to form salt and water.</x:v>
      </x:c>
      <x:c r="J303" s="60" t="str">
        <x:v>It reacts only with base and does not form water.</x:v>
      </x:c>
      <x:c r="K303" s="60" t="str">
        <x:v>C</x:v>
      </x:c>
      <x:c r="L303" s="60" t="str">
        <x:v>It reacts with both acid as well as base to form salt and water.</x:v>
      </x:c>
      <x:c r="M303" s="60" t="str">
        <x:v>The chemical property or reaction shown identifies It reacts with both acid as well as base to form salt and water..</x:v>
      </x:c>
      <x:c r="N303" s="60" t="str">
        <x:v>Z1XYW/5</x:v>
      </x:c>
      <x:c r="O303" s="60" t="str">
        <x:v>Science</x:v>
      </x:c>
      <x:c r="P303" s="60" t="str">
        <x:v>Automated structural screening passed. Rewrite the explanation to teach the reasoning before publication.</x:v>
      </x:c>
    </x:row>
    <x:row r="304">
      <x:c r="A304" s="60" t="str">
        <x:v>QB-0564</x:v>
      </x:c>
      <x:c r="B304" s="62" t="n">
        <x:v>564</x:v>
      </x:c>
      <x:c r="C304" s="60" t="str">
        <x:v>Science</x:v>
      </x:c>
      <x:c r="D304" s="60" t="str">
        <x:v>Medium</x:v>
      </x:c>
      <x:c r="E304" s="60" t="str">
        <x:v>Chemistry</x:v>
      </x:c>
      <x:c r="F304" s="60" t="str">
        <x:v>2 g of yellow sulphur powder is burnt in a china dish and the fumes are collected in a test tube. Water is added in the test tube and the solution is tested separately with blue and red litmus paper. The correct option is</x:v>
      </x:c>
      <x:c r="G304" s="60" t="str">
        <x:v>Blue litmus remains blue and red litmus turns blue.</x:v>
      </x:c>
      <x:c r="H304" s="60" t="str">
        <x:v>Blue litmus turns red and red litmus remains red.</x:v>
      </x:c>
      <x:c r="I304" s="60" t="str">
        <x:v>Blue litmus turns red and red litmus turns blue.</x:v>
      </x:c>
      <x:c r="J304" s="60" t="str">
        <x:v>Blue litmus remains blue and red litmus remains red.</x:v>
      </x:c>
      <x:c r="K304" s="60" t="str">
        <x:v>C</x:v>
      </x:c>
      <x:c r="L304" s="60" t="str">
        <x:v>Blue litmus turns red and red litmus turns blue.</x:v>
      </x:c>
      <x:c r="M304" s="60" t="str">
        <x:v>The chemical property or reaction shown identifies Blue litmus turns red and red litmus turns blue..</x:v>
      </x:c>
      <x:c r="N304" s="60" t="str">
        <x:v>Z1XYW/C</x:v>
      </x:c>
      <x:c r="O304" s="60" t="str">
        <x:v>Science</x:v>
      </x:c>
      <x:c r="P304" s="60" t="str">
        <x:v>Automated structural screening passed. Rewrite the explanation to teach the reasoning before publication.</x:v>
      </x:c>
    </x:row>
    <x:row r="305">
      <x:c r="A305" s="60" t="str">
        <x:v>QB-0566</x:v>
      </x:c>
      <x:c r="B305" s="62" t="n">
        <x:v>566</x:v>
      </x:c>
      <x:c r="C305" s="60" t="str">
        <x:v>Science</x:v>
      </x:c>
      <x:c r="D305" s="60" t="str">
        <x:v>Medium</x:v>
      </x:c>
      <x:c r="E305" s="60" t="str">
        <x:v>Life Processes</x:v>
      </x:c>
      <x:c r="F305" s="60" t="str">
        <x:v>As compared to daytime, the amount of carbon dioxide released by the plants during night is more because</x:v>
      </x:c>
      <x:c r="G305" s="60" t="str">
        <x:v>It is not produced during daytime.</x:v>
      </x:c>
      <x:c r="H305" s="60" t="str">
        <x:v>It is stored in the leaves of plants during daytime.</x:v>
      </x:c>
      <x:c r="I305" s="60" t="str">
        <x:v>Major amount of carbon dioxide produced is used up for photosynthesis during daytime.</x:v>
      </x:c>
      <x:c r="J305" s="60" t="str">
        <x:v>Plants do not respire during daytime.</x:v>
      </x:c>
      <x:c r="K305" s="60" t="str">
        <x:v>D</x:v>
      </x:c>
      <x:c r="L305" s="60" t="str">
        <x:v>Plants do not respire during daytime.</x:v>
      </x:c>
      <x:c r="M305" s="60" t="str">
        <x:v>The described biological process supports Plants do not respire during daytime..</x:v>
      </x:c>
      <x:c r="N305" s="60" t="str">
        <x:v>Z1XYW/C</x:v>
      </x:c>
      <x:c r="O305" s="60" t="str">
        <x:v>Science</x:v>
      </x:c>
      <x:c r="P305" s="60" t="str">
        <x:v>Automated structural screening passed. Rewrite the explanation to teach the reasoning before publication.</x:v>
      </x:c>
    </x:row>
    <x:row r="306">
      <x:c r="A306" s="60" t="str">
        <x:v>QB-0567</x:v>
      </x:c>
      <x:c r="B306" s="62" t="n">
        <x:v>567</x:v>
      </x:c>
      <x:c r="C306" s="60" t="str">
        <x:v>Science</x:v>
      </x:c>
      <x:c r="D306" s="60" t="str">
        <x:v>Medium</x:v>
      </x:c>
      <x:c r="E306" s="60" t="str">
        <x:v>Chemistry</x:v>
      </x:c>
      <x:c r="F306" s="60" t="str">
        <x:v>Consider the following substances : (i) Acidified K2Cr2O7 (ii) Alkaline KMnO4 (iii) Oxygen (iv) Hydrogen Out of these, the commonly used oxidising agents are</x:v>
      </x:c>
      <x:c r="G306" s="60" t="str">
        <x:v>(i) and (ii) only</x:v>
      </x:c>
      <x:c r="H306" s="60" t="str">
        <x:v>(ii) and (iii) only</x:v>
      </x:c>
      <x:c r="I306" s="60" t="str">
        <x:v>(i), (ii) and (iii)</x:v>
      </x:c>
      <x:c r="J306" s="60" t="str">
        <x:v>(i)</x:v>
      </x:c>
      <x:c r="K306" s="60" t="str">
        <x:v>C</x:v>
      </x:c>
      <x:c r="L306" s="60" t="str">
        <x:v>(i), (ii) and (iii)</x:v>
      </x:c>
      <x:c r="M306" s="60" t="str">
        <x:v>The chemical property or reaction shown identifies (i), (ii) and (iii).</x:v>
      </x:c>
      <x:c r="N306" s="60" t="str">
        <x:v>Z1XYW/C</x:v>
      </x:c>
      <x:c r="O306" s="60" t="str">
        <x:v>Science</x:v>
      </x:c>
      <x:c r="P306" s="60" t="str">
        <x:v>Automated structural screening passed. Rewrite the explanation to teach the reasoning before publication.</x:v>
      </x:c>
    </x:row>
    <x:row r="307">
      <x:c r="A307" s="60" t="str">
        <x:v>QB-0568</x:v>
      </x:c>
      <x:c r="B307" s="62" t="n">
        <x:v>568</x:v>
      </x:c>
      <x:c r="C307" s="60" t="str">
        <x:v>Science</x:v>
      </x:c>
      <x:c r="D307" s="60" t="str">
        <x:v>Easy</x:v>
      </x:c>
      <x:c r="E307" s="60" t="str">
        <x:v>General Science</x:v>
      </x:c>
      <x:c r="F307" s="60" t="str">
        <x:v>In the electrolysis of water, if the mass of the gas collected at the anode is ma and the mass of the gas collected at the cathode is mc, the value of (mc/ma) is</x:v>
      </x:c>
      <x:c r="G307" s="60" t="str">
        <x:v>8</x:v>
      </x:c>
      <x:c r="H307" s="60" t="str">
        <x:v>16</x:v>
      </x:c>
      <x:c r="I307" s="60" t="str">
        <x:v>161</x:v>
      </x:c>
      <x:c r="J307" s="60" t="str">
        <x:v>81</x:v>
      </x:c>
      <x:c r="K307" s="60" t="str">
        <x:v>A</x:v>
      </x:c>
      <x:c r="L307" s="60" t="str">
        <x:v>8</x:v>
      </x:c>
      <x:c r="M307" s="60" t="str">
        <x:v>The scientific principle described in “In the electrolysis of water if the” supports 8.</x:v>
      </x:c>
      <x:c r="N307" s="60" t="str">
        <x:v>Z1XYW/C</x:v>
      </x:c>
      <x:c r="O307" s="60" t="str">
        <x:v>Science</x:v>
      </x:c>
      <x:c r="P307" s="60" t="str">
        <x:v>Automated structural screening passed. Rewrite the explanation to teach the reasoning before publication.</x:v>
      </x:c>
    </x:row>
    <x:row r="308">
      <x:c r="A308" s="60" t="str">
        <x:v>QB-0569</x:v>
      </x:c>
      <x:c r="B308" s="62" t="n">
        <x:v>569</x:v>
      </x:c>
      <x:c r="C308" s="60" t="str">
        <x:v>Science</x:v>
      </x:c>
      <x:c r="D308" s="60" t="str">
        <x:v>Medium</x:v>
      </x:c>
      <x:c r="E308" s="60" t="str">
        <x:v>Chemistry</x:v>
      </x:c>
      <x:c r="F308" s="60" t="str">
        <x:v>Select from the following compounds which is not a base</x:v>
      </x:c>
      <x:c r="G308" s="60" t="str">
        <x:v>Sodium hydroxide</x:v>
      </x:c>
      <x:c r="H308" s="60" t="str">
        <x:v>Calcium hydroxide</x:v>
      </x:c>
      <x:c r="I308" s="60" t="str">
        <x:v>Sodium sulphate</x:v>
      </x:c>
      <x:c r="J308" s="60" t="str">
        <x:v>Zinc oxide</x:v>
      </x:c>
      <x:c r="K308" s="60" t="str">
        <x:v>B</x:v>
      </x:c>
      <x:c r="L308" s="60" t="str">
        <x:v>Calcium hydroxide</x:v>
      </x:c>
      <x:c r="M308" s="60" t="str">
        <x:v>The chemical property or reaction shown identifies Calcium hydroxide.</x:v>
      </x:c>
      <x:c r="N308" s="60" t="str">
        <x:v>Z1XYW/C</x:v>
      </x:c>
      <x:c r="O308" s="60" t="str">
        <x:v>Science</x:v>
      </x:c>
      <x:c r="P308" s="60" t="str">
        <x:v>Automated structural screening passed. Rewrite the explanation to teach the reasoning before publication.</x:v>
      </x:c>
    </x:row>
    <x:row r="309">
      <x:c r="A309" s="60" t="str">
        <x:v>QB-0570</x:v>
      </x:c>
      <x:c r="B309" s="62" t="n">
        <x:v>570</x:v>
      </x:c>
      <x:c r="C309" s="60" t="str">
        <x:v>Science</x:v>
      </x:c>
      <x:c r="D309" s="60" t="str">
        <x:v>Easy</x:v>
      </x:c>
      <x:c r="E309" s="60" t="str">
        <x:v>General Science</x:v>
      </x:c>
      <x:c r="F309" s="60" t="str">
        <x:v>The organism in which an outgrowth on the parent body develops into a new individual is</x:v>
      </x:c>
      <x:c r="G309" s="60" t="str">
        <x:v>Amoeba</x:v>
      </x:c>
      <x:c r="H309" s="60" t="str">
        <x:v>Paramecium</x:v>
      </x:c>
      <x:c r="I309" s="60" t="str">
        <x:v>Rhizopus</x:v>
      </x:c>
      <x:c r="J309" s="60" t="str">
        <x:v>Yeast</x:v>
      </x:c>
      <x:c r="K309" s="60" t="str">
        <x:v>C</x:v>
      </x:c>
      <x:c r="L309" s="60" t="str">
        <x:v>Rhizopus</x:v>
      </x:c>
      <x:c r="M309" s="60" t="str">
        <x:v>The scientific principle described in “The organism in which an outgrowth on” supports Rhizopus.</x:v>
      </x:c>
      <x:c r="N309" s="60" t="str">
        <x:v>Z1XYW/C</x:v>
      </x:c>
      <x:c r="O309" s="60" t="str">
        <x:v>Science</x:v>
      </x:c>
      <x:c r="P309" s="60" t="str">
        <x:v>Automated structural screening passed. Rewrite the explanation to teach the reasoning before publication.</x:v>
      </x:c>
    </x:row>
    <x:row r="310">
      <x:c r="A310" s="60" t="str">
        <x:v>QB-0572</x:v>
      </x:c>
      <x:c r="B310" s="62" t="n">
        <x:v>572</x:v>
      </x:c>
      <x:c r="C310" s="60" t="str">
        <x:v>Science</x:v>
      </x:c>
      <x:c r="D310" s="60" t="str">
        <x:v>Hard</x:v>
      </x:c>
      <x:c r="E310" s="60" t="str">
        <x:v>Electricity &amp; Magnetism</x:v>
      </x:c>
      <x:c r="F310" s="60" t="str">
        <x:v>The shape of magnetic field lines produced (i) inside a solenoid (ii) around a straight conductor, both carrying current of the same magnitude are, respectively</x:v>
      </x:c>
      <x:c r="G310" s="60" t="str">
        <x:v>(i) straight, (ii) circular</x:v>
      </x:c>
      <x:c r="H310" s="60" t="str">
        <x:v>(i) circular, (ii) circular</x:v>
      </x:c>
      <x:c r="I310" s="60" t="str">
        <x:v>(i) straight, (ii) straight</x:v>
      </x:c>
      <x:c r="J310" s="60" t="str">
        <x:v>(i) circular, (ii) straight</x:v>
      </x:c>
      <x:c r="K310" s="60" t="str">
        <x:v>A</x:v>
      </x:c>
      <x:c r="L310" s="60" t="str">
        <x:v>(i) straight, (ii) circular</x:v>
      </x:c>
      <x:c r="M310" s="60" t="str">
        <x:v>The stated electricity or magnetism rule gives (i) straight, (ii) circular.</x:v>
      </x:c>
      <x:c r="N310" s="60" t="str">
        <x:v>Z1XYW/C</x:v>
      </x:c>
      <x:c r="O310" s="60" t="str">
        <x:v>Science</x:v>
      </x:c>
      <x:c r="P310" s="60" t="str">
        <x:v>Automated structural screening passed. Rewrite the explanation to teach the reasoning before publication.</x:v>
      </x:c>
    </x:row>
    <x:row r="311">
      <x:c r="A311" s="60" t="str">
        <x:v>QB-0573</x:v>
      </x:c>
      <x:c r="B311" s="62" t="n">
        <x:v>573</x:v>
      </x:c>
      <x:c r="C311" s="60" t="str">
        <x:v>Science</x:v>
      </x:c>
      <x:c r="D311" s="60" t="str">
        <x:v>Medium</x:v>
      </x:c>
      <x:c r="E311" s="60" t="str">
        <x:v>Chemistry</x:v>
      </x:c>
      <x:c r="F311" s="60" t="str">
        <x:v>When a narrow beam of white light passes through a glass prism it splits into its component colours ? This phenomenon is called</x:v>
      </x:c>
      <x:c r="G311" s="60" t="str">
        <x:v>Diffusion of light</x:v>
      </x:c>
      <x:c r="H311" s="60" t="str">
        <x:v>Total reflection of light</x:v>
      </x:c>
      <x:c r="I311" s="60" t="str">
        <x:v>Scattering of light</x:v>
      </x:c>
      <x:c r="J311" s="60" t="str">
        <x:v>Dispersion of light</x:v>
      </x:c>
      <x:c r="K311" s="60" t="str">
        <x:v>D</x:v>
      </x:c>
      <x:c r="L311" s="60" t="str">
        <x:v>Dispersion of light</x:v>
      </x:c>
      <x:c r="M311" s="60" t="str">
        <x:v>The applicable optics principle identifies Dispersion of light.</x:v>
      </x:c>
      <x:c r="N311" s="60" t="str">
        <x:v>Z1XYW/C</x:v>
      </x:c>
      <x:c r="O311" s="60" t="str">
        <x:v>Science</x:v>
      </x:c>
      <x:c r="P311" s="60" t="str">
        <x:v>Automated structural screening passed. Rewrite the explanation to teach the reasoning before publication.</x:v>
      </x:c>
    </x:row>
    <x:row r="312">
      <x:c r="A312" s="60" t="str">
        <x:v>QB-0576</x:v>
      </x:c>
      <x:c r="B312" s="62" t="n">
        <x:v>576</x:v>
      </x:c>
      <x:c r="C312" s="60" t="str">
        <x:v>Science</x:v>
      </x:c>
      <x:c r="D312" s="60" t="str">
        <x:v>Medium</x:v>
      </x:c>
      <x:c r="E312" s="60" t="str">
        <x:v>Life Processes</x:v>
      </x:c>
      <x:c r="F312" s="60" t="str">
        <x:v>Which one of the following molecules is produced initially when glucose breaks down in the cytoplasm of a cell in aerobic as well as anaerobic respiration?</x:v>
      </x:c>
      <x:c r="G312" s="60" t="str">
        <x:v>Lactic acid</x:v>
      </x:c>
      <x:c r="H312" s="60" t="str">
        <x:v>Ethanol</x:v>
      </x:c>
      <x:c r="I312" s="60" t="str">
        <x:v>Carbon dioxide</x:v>
      </x:c>
      <x:c r="J312" s="60" t="str">
        <x:v>Pyruvate</x:v>
      </x:c>
      <x:c r="K312" s="60" t="str">
        <x:v>C</x:v>
      </x:c>
      <x:c r="L312" s="60" t="str">
        <x:v>Carbon dioxide</x:v>
      </x:c>
      <x:c r="M312" s="60" t="str">
        <x:v>The scientific principle described in “Which one of the following molecules is” supports Carbon dioxide.</x:v>
      </x:c>
      <x:c r="N312" s="60" t="str">
        <x:v>Z1XYW/C</x:v>
      </x:c>
      <x:c r="O312" s="60" t="str">
        <x:v>Science</x:v>
      </x:c>
      <x:c r="P312" s="60" t="str">
        <x:v>Automated structural screening passed. Rewrite the explanation to teach the reasoning before publication.</x:v>
      </x:c>
    </x:row>
    <x:row r="313">
      <x:c r="A313" s="60" t="str">
        <x:v>QB-0577</x:v>
      </x:c>
      <x:c r="B313" s="62" t="n">
        <x:v>577</x:v>
      </x:c>
      <x:c r="C313" s="60" t="str">
        <x:v>Science</x:v>
      </x:c>
      <x:c r="D313" s="60" t="str">
        <x:v>Medium</x:v>
      </x:c>
      <x:c r="E313" s="60" t="str">
        <x:v>Chemistry</x:v>
      </x:c>
      <x:c r="F313" s="60" t="str">
        <x:v>Which one of the following properties of Carbon is not responsible for its formation of large number of compounds?</x:v>
      </x:c>
      <x:c r="G313" s="60" t="str">
        <x:v>Tetravalency</x:v>
      </x:c>
      <x:c r="H313" s="60" t="str">
        <x:v>Isomerism</x:v>
      </x:c>
      <x:c r="I313" s="60" t="str">
        <x:v>Allotropy</x:v>
      </x:c>
      <x:c r="J313" s="60" t="str">
        <x:v>Catenation</x:v>
      </x:c>
      <x:c r="K313" s="60" t="str">
        <x:v>B</x:v>
      </x:c>
      <x:c r="L313" s="60" t="str">
        <x:v>Isomerism</x:v>
      </x:c>
      <x:c r="M313" s="60" t="str">
        <x:v>The scientific principle described in “Which one of the following properties of” supports Isomerism.</x:v>
      </x:c>
      <x:c r="N313" s="60" t="str">
        <x:v>Z1XYW/C</x:v>
      </x:c>
      <x:c r="O313" s="60" t="str">
        <x:v>Science</x:v>
      </x:c>
      <x:c r="P313" s="60" t="str">
        <x:v>Automated structural screening passed. Rewrite the explanation to teach the reasoning before publication.</x:v>
      </x:c>
    </x:row>
    <x:row r="314">
      <x:c r="A314" s="60" t="str">
        <x:v>QB-0578</x:v>
      </x:c>
      <x:c r="B314" s="62" t="n">
        <x:v>578</x:v>
      </x:c>
      <x:c r="C314" s="60" t="str">
        <x:v>Science</x:v>
      </x:c>
      <x:c r="D314" s="60" t="str">
        <x:v>Medium</x:v>
      </x:c>
      <x:c r="E314" s="60" t="str">
        <x:v>Chemistry</x:v>
      </x:c>
      <x:c r="F314" s="60" t="str">
        <x:v>You want to test for hardness of water but hard water is not available in the laboratory. Which of the following compounds may be dissolved in pure water to make it hard ? (i) Hydrogen Carbonate of Sodium (ii) Sulphate of Magnesium (iii) Chloride of Calcium (iv) Carbonate of Sodium</x:v>
      </x:c>
      <x:c r="G314" s="60" t="str">
        <x:v>(i) and (ii)</x:v>
      </x:c>
      <x:c r="H314" s="60" t="str">
        <x:v>(ii) and (iii)</x:v>
      </x:c>
      <x:c r="I314" s="60" t="str">
        <x:v>(iii) and (iv)</x:v>
      </x:c>
      <x:c r="J314" s="60" t="str">
        <x:v>(i) and (iv)</x:v>
      </x:c>
      <x:c r="K314" s="60" t="str">
        <x:v>C</x:v>
      </x:c>
      <x:c r="L314" s="60" t="str">
        <x:v>(iii) and (iv)</x:v>
      </x:c>
      <x:c r="M314" s="60" t="str">
        <x:v>The chemical property or reaction shown identifies (iii) and (iv).</x:v>
      </x:c>
      <x:c r="N314" s="60" t="str">
        <x:v>Z1XYW/C</x:v>
      </x:c>
      <x:c r="O314" s="60" t="str">
        <x:v>Science</x:v>
      </x:c>
      <x:c r="P314" s="60" t="str">
        <x:v>Automated structural screening passed. Rewrite the explanation to teach the reasoning before publication.</x:v>
      </x:c>
    </x:row>
  </x:sheetData>
  <x:conditionalFormatting sqref="D2:D314">
    <x:cfRule type="containsText" dxfId="0" priority="1" operator="containsText" text="Easy"/>
    <x:cfRule type="containsText" dxfId="1" priority="2" operator="containsText" text="Medium"/>
    <x:cfRule type="containsText" dxfId="2" priority="3" operator="containsText" text="Hard"/>
  </x:conditionalFormatting>
  <x:dataValidations count="2">
    <x:dataValidation type="list" sqref="C2:C314">
      <x:formula1>"Mathematics,Science,Computer"</x:formula1>
    </x:dataValidation>
    <x:dataValidation type="list" sqref="D2:D314">
      <x:formula1>"Easy,Medium,Hard"</x:formula1>
    </x:dataValidation>
  </x:dataValidations>
  <x:pageMargins left="0.7" right="0.7" top="0.75" bottom="0.75" header="0.3" footer="0.3"/>
  <x:tableParts count="1">
    <x:tablePart xmlns:r="http://schemas.openxmlformats.org/officeDocument/2006/relationships" r:id="R256e4569db584fa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18" hidden="0" customWidth="1"/>
    <x:col min="4" max="4" width="27" hidden="0" customWidth="1"/>
    <x:col min="5" max="5" width="50" hidden="0" customWidth="1"/>
    <x:col min="6" max="6" width="27" hidden="0" customWidth="1"/>
    <x:col min="7" max="7" width="27" hidden="0" customWidth="1"/>
    <x:col min="8" max="8" width="27" hidden="0" customWidth="1"/>
    <x:col min="9" max="9" width="27" hidden="0" customWidth="1"/>
    <x:col min="10" max="10" width="28" hidden="0" customWidth="1"/>
    <x:col min="11" max="11" width="44" hidden="0" customWidth="1"/>
    <x:col min="12" max="12" width="15" hidden="0" customWidth="1"/>
    <x:col min="13" max="13" width="22" hidden="0" customWidth="1"/>
    <x:col min="14" max="14" width="52" hidden="0" customWidth="1"/>
    <x:col min="15" max="15" width="42" hidden="0" customWidth="1"/>
  </x:cols>
  <x:sheetData>
    <x:row r="1">
      <x:c r="A1" s="66" t="str">
        <x:v>Source_Row</x:v>
      </x:c>
      <x:c r="B1" s="65" t="str">
        <x:v>Subject</x:v>
      </x:c>
      <x:c r="C1" s="65" t="str">
        <x:v>Suggested_Difficulty</x:v>
      </x:c>
      <x:c r="D1" s="65" t="str">
        <x:v>Topic</x:v>
      </x:c>
      <x:c r="E1" s="65" t="str">
        <x:v>Question</x:v>
      </x:c>
      <x:c r="F1" s="65" t="str">
        <x:v>Option_A</x:v>
      </x:c>
      <x:c r="G1" s="65" t="str">
        <x:v>Option_B</x:v>
      </x:c>
      <x:c r="H1" s="65" t="str">
        <x:v>Option_C</x:v>
      </x:c>
      <x:c r="I1" s="65" t="str">
        <x:v>Option_D</x:v>
      </x:c>
      <x:c r="J1" s="65" t="str">
        <x:v>Stored_Answer</x:v>
      </x:c>
      <x:c r="K1" s="65" t="str">
        <x:v>Explanation</x:v>
      </x:c>
      <x:c r="L1" s="65" t="str">
        <x:v>Source_Series</x:v>
      </x:c>
      <x:c r="M1" s="65" t="str">
        <x:v>Original_Subject</x:v>
      </x:c>
      <x:c r="N1" s="65" t="str">
        <x:v>Quarantine_Reasons</x:v>
      </x:c>
      <x:c r="O1" s="65" t="str">
        <x:v>Action_Required</x:v>
      </x:c>
    </x:row>
    <x:row r="2">
      <x:c r="A2" s="62" t="n">
        <x:v>9</x:v>
      </x:c>
      <x:c r="B2" s="60" t="str">
        <x:v>Computer</x:v>
      </x:c>
      <x:c r="C2" s="60" t="str">
        <x:v>Easy</x:v>
      </x:c>
      <x:c r="D2" s="60" t="str">
        <x:v>Computing Fundamentals</x:v>
      </x:c>
      <x:c r="E2" s="60" t="str">
        <x:v>Kinesthetic Intelligence</x:v>
      </x:c>
      <x:c r="F2" s="60" t="str">
        <x:v>Is the ability that is related to how a person uses his limbs in a skilled manner.</x:v>
      </x:c>
      <x:c r="G2" s="60" t="str">
        <x:v>reasoning.</x:v>
      </x:c>
      <x:c r="H2" s="60" t="str">
        <x:v>Describes the level of self-awareness someone has, starting from realising weaknesses, strengths, to recognising their own feelings.</x:v>
      </x:c>
      <x:c r="I2" s="60" t="str">
        <x:v>The ability to perceive the visual world and the relationship of one object to another.</x:v>
      </x:c>
      <x:c r="J2" s="60" t="str">
        <x:v>Is the ability that is related to how a person uses his limbs in a skilled manner.</x:v>
      </x:c>
      <x:c r="K2" s="60" t="str">
        <x:v>For the AI concept “Kinesthetic Intelligence”, the correct choice is Is the ability that is related to how a person uses his limbs in a skilled manner..</x:v>
      </x:c>
      <x:c r="L2" s="60" t="str">
        <x:v>EFGH/S</x:v>
      </x:c>
      <x:c r="M2" s="60" t="str">
        <x:v>Artificial Intelligence</x:v>
      </x:c>
      <x:c r="N2" s="60" t="str">
        <x:v>Incomplete question stem and incomplete distractor.</x:v>
      </x:c>
      <x:c r="O2" s="60" t="str">
        <x:v>Correct from a reliable source, independently verify the answer, then rescreen.</x:v>
      </x:c>
    </x:row>
    <x:row r="3">
      <x:c r="A3" s="62" t="n">
        <x:v>11</x:v>
      </x:c>
      <x:c r="B3" s="60" t="str">
        <x:v>Computer</x:v>
      </x:c>
      <x:c r="C3" s="60" t="str">
        <x:v>Medium</x:v>
      </x:c>
      <x:c r="D3" s="60" t="str">
        <x:v>Artificial Intelligence</x:v>
      </x:c>
      <x:c r="E3" s="60" t="str">
        <x:v>Which of the following words represents an example of stemming for “Sharing”?</x:v>
      </x:c>
      <x:c r="F3" s="60" t="str">
        <x:v>Share</x:v>
      </x:c>
      <x:c r="G3" s="60" t="str">
        <x:v>Shared</x:v>
      </x:c>
      <x:c r="H3" s="60" t="str">
        <x:v>Shares</x:v>
      </x:c>
      <x:c r="I3" s="60" t="str">
        <x:v>Shar</x:v>
      </x:c>
      <x:c r="J3" s="60" t="str">
        <x:v>Shar</x:v>
      </x:c>
      <x:c r="K3" s="60" t="str">
        <x:v>For the AI concept “Which of the following words represents an”, the correct choice is Shar.</x:v>
      </x:c>
      <x:c r="L3" s="60" t="str">
        <x:v>EFGH/S</x:v>
      </x:c>
      <x:c r="M3" s="60" t="str">
        <x:v>Artificial Intelligence</x:v>
      </x:c>
      <x:c r="N3" s="60" t="str">
        <x:v>Stemming answer depends on the algorithm and is ambiguous.</x:v>
      </x:c>
      <x:c r="O3" s="60" t="str">
        <x:v>Correct from a reliable source, independently verify the answer, then rescreen.</x:v>
      </x:c>
    </x:row>
    <x:row r="4">
      <x:c r="A4" s="62" t="n">
        <x:v>13</x:v>
      </x:c>
      <x:c r="B4" s="60" t="str">
        <x:v>Computer</x:v>
      </x:c>
      <x:c r="C4" s="60" t="str">
        <x:v>Medium</x:v>
      </x:c>
      <x:c r="D4" s="60" t="str">
        <x:v>Artificial Intelligence</x:v>
      </x:c>
      <x:c r="E4" s="60" t="str">
        <x:v>Which computer vision task involves both identifying what object is present in an image and determining the precise location of that object within the image?</x:v>
      </x:c>
      <x:c r="F4" s="60" t="str">
        <x:v>Image Classification</x:v>
      </x:c>
      <x:c r="G4" s="60" t="str">
        <x:v>Object Detection</x:v>
      </x:c>
      <x:c r="H4" s="60" t="str">
        <x:v>Instance Segmentation</x:v>
      </x:c>
      <x:c r="I4" s="60" t="str">
        <x:v>Classification + Localisation</x:v>
      </x:c>
      <x:c r="J4" s="60" t="str">
        <x:v>Classification + Localisation</x:v>
      </x:c>
      <x:c r="K4" s="60" t="str">
        <x:v>For the AI concept “Which computer vision task involves both identifying”, the correct choice is Classification + Localisation.</x:v>
      </x:c>
      <x:c r="L4" s="60" t="str">
        <x:v>EFGH/S</x:v>
      </x:c>
      <x:c r="M4" s="60" t="str">
        <x:v>Artificial Intelligence</x:v>
      </x:c>
      <x:c r="N4" s="60" t="str">
        <x:v>Classification/localisation and object detection wording is ambiguous.</x:v>
      </x:c>
      <x:c r="O4" s="60" t="str">
        <x:v>Correct from a reliable source, independently verify the answer, then rescreen.</x:v>
      </x:c>
    </x:row>
    <x:row r="5">
      <x:c r="A5" s="62" t="n">
        <x:v>21</x:v>
      </x:c>
      <x:c r="B5" s="60" t="str">
        <x:v>Computer</x:v>
      </x:c>
      <x:c r="C5" s="60" t="str">
        <x:v>Easy</x:v>
      </x:c>
      <x:c r="D5" s="60" t="str">
        <x:v>Digital Citizenship</x:v>
      </x:c>
      <x:c r="E5" s="60" t="str">
        <x:v>Spam refers to</x:v>
      </x:c>
      <x:c r="F5" s="60" t="str">
        <x:v>Unnecessary images</x:v>
      </x:c>
      <x:c r="G5" s="60" t="str">
        <x:v>Temporary files</x:v>
      </x:c>
      <x:c r="H5" s="60" t="str">
        <x:v>Junk mails</x:v>
      </x:c>
      <x:c r="I5" s="60" t="str">
        <x:v>Music files</x:v>
      </x:c>
      <x:c r="J5" s="60" t="str">
        <x:v>Junk mails</x:v>
      </x:c>
      <x:c r="K5" s="60" t="str">
        <x:v>For the AI concept “Spam refers to”, the correct choice is Junk mails.</x:v>
      </x:c>
      <x:c r="L5" s="60" t="str">
        <x:v>GE1FH</x:v>
      </x:c>
      <x:c r="M5" s="60" t="str">
        <x:v>Artificial Intelligence</x:v>
      </x:c>
      <x:c r="N5" s="60" t="str">
        <x:v>Question stem appears incomplete</x:v>
      </x:c>
      <x:c r="O5" s="60" t="str">
        <x:v>Correct from a reliable source, independently verify the answer, then rescreen.</x:v>
      </x:c>
    </x:row>
    <x:row r="6">
      <x:c r="A6" s="62" t="n">
        <x:v>24</x:v>
      </x:c>
      <x:c r="B6" s="60" t="str">
        <x:v>Computer</x:v>
      </x:c>
      <x:c r="C6" s="60" t="str">
        <x:v>Medium</x:v>
      </x:c>
      <x:c r="D6" s="60" t="str">
        <x:v>Internet &amp; Networks</x:v>
      </x:c>
      <x:c r="E6" s="60" t="str">
        <x:v>Ajay, a computer engineer, generally uses his laptop to remotely access customers’ computers in order to diagnose problems in their computer. Which protocol is being used for this purpose?</x:v>
      </x:c>
      <x:c r="F6" s="60" t="str">
        <x:v>FTP</x:v>
      </x:c>
      <x:c r="G6" s="60" t="str">
        <x:v>SMS</x:v>
      </x:c>
      <x:c r="H6" s="60" t="str">
        <x:v>SMTP</x:v>
      </x:c>
      <x:c r="I6" s="60" t="str">
        <x:v>TELNET</x:v>
      </x:c>
      <x:c r="J6" s="60" t="str">
        <x:v>TELNET</x:v>
      </x:c>
      <x:c r="K6" s="60" t="str">
        <x:v>The named network function is performed by TELNET.</x:v>
      </x:c>
      <x:c r="L6" s="60" t="str">
        <x:v>2KNLM</x:v>
      </x:c>
      <x:c r="M6" s="60" t="str">
        <x:v>Computer Applications</x:v>
      </x:c>
      <x:c r="N6" s="60" t="str">
        <x:v>Remote-diagnostics wording is outdated and misleading.</x:v>
      </x:c>
      <x:c r="O6" s="60" t="str">
        <x:v>Correct from a reliable source, independently verify the answer, then rescreen.</x:v>
      </x:c>
    </x:row>
    <x:row r="7">
      <x:c r="A7" s="62" t="n">
        <x:v>26</x:v>
      </x:c>
      <x:c r="B7" s="60" t="str">
        <x:v>Computer</x:v>
      </x:c>
      <x:c r="C7" s="60" t="str">
        <x:v>Easy</x:v>
      </x:c>
      <x:c r="D7" s="60" t="str">
        <x:v>Internet &amp; Networks</x:v>
      </x:c>
      <x:c r="E7" s="60" t="str">
        <x:v>What is Internet?</x:v>
      </x:c>
      <x:c r="F7" s="60" t="str">
        <x:v>A type of computer software</x:v>
      </x:c>
      <x:c r="G7" s="60" t="str">
        <x:v>A global network of interconnected computer networks</x:v>
      </x:c>
      <x:c r="H7" s="60" t="str">
        <x:v>A local area network in a school</x:v>
      </x:c>
      <x:c r="I7" s="60" t="str">
        <x:v>A type of computer hardware</x:v>
      </x:c>
      <x:c r="J7" s="60" t="str">
        <x:v>A global network of interconnected computer networks</x:v>
      </x:c>
      <x:c r="K7" s="60" t="str">
        <x:v>The named network function is performed by A global network of interconnected computer networks.</x:v>
      </x:c>
      <x:c r="L7" s="60" t="str">
        <x:v>2KNLM</x:v>
      </x:c>
      <x:c r="M7" s="60" t="str">
        <x:v>Computer Applications</x:v>
      </x:c>
      <x:c r="N7" s="60" t="str">
        <x:v>Question stem appears incomplete</x:v>
      </x:c>
      <x:c r="O7" s="60" t="str">
        <x:v>Correct from a reliable source, independently verify the answer, then rescreen.</x:v>
      </x:c>
    </x:row>
    <x:row r="8">
      <x:c r="A8" s="62" t="n">
        <x:v>28</x:v>
      </x:c>
      <x:c r="B8" s="60" t="str">
        <x:v>Computer</x:v>
      </x:c>
      <x:c r="C8" s="60" t="str">
        <x:v>Easy</x:v>
      </x:c>
      <x:c r="D8" s="60" t="str">
        <x:v>Computing Fundamentals</x:v>
      </x:c>
      <x:c r="E8" s="60" t="str">
        <x:v>What is World Wide Web?</x:v>
      </x:c>
      <x:c r="F8" s="60" t="str">
        <x:v>A network hardware</x:v>
      </x:c>
      <x:c r="G8" s="60" t="str">
        <x:v>Software to manage data</x:v>
      </x:c>
      <x:c r="H8" s="60" t="str">
        <x:v>System of interlinked webpages</x:v>
      </x:c>
      <x:c r="I8" s="60" t="str">
        <x:v>Web server</x:v>
      </x:c>
      <x:c r="J8" s="60" t="str">
        <x:v>System of interlinked webpages</x:v>
      </x:c>
      <x:c r="K8" s="60" t="str">
        <x:v>For the computing task “What is World Wide Web”, the correct choice is System of interlinked webpages.</x:v>
      </x:c>
      <x:c r="L8" s="60" t="str">
        <x:v>2KNLM</x:v>
      </x:c>
      <x:c r="M8" s="60" t="str">
        <x:v>Computer Applications</x:v>
      </x:c>
      <x:c r="N8" s="60" t="str">
        <x:v>Question stem appears incomplete</x:v>
      </x:c>
      <x:c r="O8" s="60" t="str">
        <x:v>Correct from a reliable source, independently verify the answer, then rescreen.</x:v>
      </x:c>
    </x:row>
    <x:row r="9">
      <x:c r="A9" s="62" t="n">
        <x:v>45</x:v>
      </x:c>
      <x:c r="B9" s="60" t="str">
        <x:v>Computer</x:v>
      </x:c>
      <x:c r="C9" s="60" t="str">
        <x:v>Easy</x:v>
      </x:c>
      <x:c r="D9" s="60" t="str">
        <x:v>Internet &amp; Networks</x:v>
      </x:c>
      <x:c r="E9" s="60" t="str">
        <x:v>Which of the following protocol is used for secure remote login?</x:v>
      </x:c>
      <x:c r="F9" s="60" t="str">
        <x:v>FTP</x:v>
      </x:c>
      <x:c r="G9" s="60" t="str">
        <x:v>HTTPS</x:v>
      </x:c>
      <x:c r="H9" s="60" t="str">
        <x:v>TELNET</x:v>
      </x:c>
      <x:c r="I9" s="60" t="str">
        <x:v>HTTP</x:v>
      </x:c>
      <x:c r="J9" s="60" t="str">
        <x:v>TELNET</x:v>
      </x:c>
      <x:c r="K9" s="60" t="str">
        <x:v>The named network function is performed by TELNET.</x:v>
      </x:c>
      <x:c r="L9" s="60" t="str">
        <x:v>EFGH/S</x:v>
      </x:c>
      <x:c r="M9" s="60" t="str">
        <x:v>Computer Applications</x:v>
      </x:c>
      <x:c r="N9" s="60" t="str">
        <x:v>Incorrect key: TELNET is not secure remote login; SSH is absent.</x:v>
      </x:c>
      <x:c r="O9" s="60" t="str">
        <x:v>Correct from a reliable source, independently verify the answer, then rescreen.</x:v>
      </x:c>
    </x:row>
    <x:row r="10">
      <x:c r="A10" s="62" t="n">
        <x:v>53</x:v>
      </x:c>
      <x:c r="B10" s="60" t="str">
        <x:v>Computer</x:v>
      </x:c>
      <x:c r="C10" s="60" t="str">
        <x:v>Easy</x:v>
      </x:c>
      <x:c r="D10" s="60" t="str">
        <x:v>Internet &amp; Networks</x:v>
      </x:c>
      <x:c r="E10" s="60" t="str">
        <x:v>Which of the following options is a network protocol that enables secure and encrypted file transfers between a client and a server?</x:v>
      </x:c>
      <x:c r="F10" s="60" t="str">
        <x:v>SFTP</x:v>
      </x:c>
      <x:c r="G10" s="60" t="str">
        <x:v>Telnet</x:v>
      </x:c>
      <x:c r="H10" s="60" t="str">
        <x:v>SCP</x:v>
      </x:c>
      <x:c r="I10" s="60" t="str">
        <x:v>HTTP</x:v>
      </x:c>
      <x:c r="J10" s="60" t="str">
        <x:v>SFTP</x:v>
      </x:c>
      <x:c r="K10" s="60" t="str">
        <x:v>The named network function is performed by SFTP.</x:v>
      </x:c>
      <x:c r="L10" s="60" t="str">
        <x:v>GE1FH</x:v>
      </x:c>
      <x:c r="M10" s="60" t="str">
        <x:v>Computer Applications</x:v>
      </x:c>
      <x:c r="N10" s="60" t="str">
        <x:v>Ambiguous key: both SFTP and SCP are secure file-transfer protocols.</x:v>
      </x:c>
      <x:c r="O10" s="60" t="str">
        <x:v>Correct from a reliable source, independently verify the answer, then rescreen.</x:v>
      </x:c>
    </x:row>
    <x:row r="11">
      <x:c r="A11" s="62" t="n">
        <x:v>54</x:v>
      </x:c>
      <x:c r="B11" s="60" t="str">
        <x:v>Computer</x:v>
      </x:c>
      <x:c r="C11" s="60" t="str">
        <x:v>Easy</x:v>
      </x:c>
      <x:c r="D11" s="60" t="str">
        <x:v>Internet &amp; Networks</x:v>
      </x:c>
      <x:c r="E11" s="60" t="str">
        <x:v>SFTP is used for</x:v>
      </x:c>
      <x:c r="F11" s="60" t="str">
        <x:v>Sending Files over the Internet in a secure manner</x:v>
      </x:c>
      <x:c r="G11" s="60" t="str">
        <x:v>Sending Mail over the Internet in a secure manner</x:v>
      </x:c>
      <x:c r="H11" s="60" t="str">
        <x:v>Video Conferencing</x:v>
      </x:c>
      <x:c r="I11" s="60" t="str">
        <x:v>Secure Chat Services</x:v>
      </x:c>
      <x:c r="J11" s="60" t="str">
        <x:v>Sending Files over the Internet in a secure manner</x:v>
      </x:c>
      <x:c r="K11" s="60" t="str">
        <x:v>For the computing task “SFTP is used for”, the correct choice is Sending Files over the Internet in a secure manner.</x:v>
      </x:c>
      <x:c r="L11" s="60" t="str">
        <x:v>WYZXW</x:v>
      </x:c>
      <x:c r="M11" s="60" t="str">
        <x:v>Computer Applications</x:v>
      </x:c>
      <x:c r="N11" s="60" t="str">
        <x:v>Question stem appears incomplete</x:v>
      </x:c>
      <x:c r="O11" s="60" t="str">
        <x:v>Correct from a reliable source, independently verify the answer, then rescreen.</x:v>
      </x:c>
    </x:row>
    <x:row r="12">
      <x:c r="A12" s="62" t="n">
        <x:v>63</x:v>
      </x:c>
      <x:c r="B12" s="60" t="str">
        <x:v>Mathematics</x:v>
      </x:c>
      <x:c r="C12" s="60" t="str">
        <x:v>Hard</x:v>
      </x:c>
      <x:c r="D12" s="60" t="str">
        <x:v>Trigonometry</x:v>
      </x:c>
      <x:c r="E12" s="60" t="str">
        <x:v>The distance between the points (– 5, 1) and (2, 2) is</x:v>
      </x:c>
      <x:c r="F12" s="60" t="str">
        <x:v>2 5 units</x:v>
      </x:c>
      <x:c r="G12" s="60" t="str">
        <x:v>10 units</x:v>
      </x:c>
      <x:c r="H12" s="60" t="str">
        <x:v>5 2 units</x:v>
      </x:c>
      <x:c r="I12" s="60" t="str">
        <x:v>3 2 units</x:v>
      </x:c>
      <x:c r="J12" s="60" t="str">
        <x:v>3 2 units</x:v>
      </x:c>
      <x:c r="K12" s="60" t="str">
        <x:v>The coordinate formula for “The distance between the points 5 1” gives 3 2 units.</x:v>
      </x:c>
      <x:c r="L12" s="60" t="str">
        <x:v>4MNKL</x:v>
      </x:c>
      <x:c r="M12" s="60" t="str">
        <x:v>Mathematics</x:v>
      </x:c>
      <x:c r="N12" s="60" t="str">
        <x:v>Mathematical notation requires reconstruction</x:v>
      </x:c>
      <x:c r="O12" s="60" t="str">
        <x:v>Correct from a reliable source, independently verify the answer, then rescreen.</x:v>
      </x:c>
    </x:row>
    <x:row r="13">
      <x:c r="A13" s="62" t="n">
        <x:v>64</x:v>
      </x:c>
      <x:c r="B13" s="60" t="str">
        <x:v>Mathematics</x:v>
      </x:c>
      <x:c r="C13" s="60" t="str">
        <x:v>Easy</x:v>
      </x:c>
      <x:c r="D13" s="60" t="str">
        <x:v>Probability</x:v>
      </x:c>
      <x:c r="E13" s="60" t="str">
        <x:v>A card is drawn from a well shuffled deck of 52 cards. The probability that it is not a diamond card is</x:v>
      </x:c>
      <x:c r="F13" s="60" t="str">
        <x:v>1 4</x:v>
      </x:c>
      <x:c r="G13" s="60" t="str">
        <x:v>0</x:v>
      </x:c>
      <x:c r="H13" s="60" t="str">
        <x:v>1 2</x:v>
      </x:c>
      <x:c r="I13" s="60" t="str">
        <x:v>3 4</x:v>
      </x:c>
      <x:c r="J13" s="60" t="str">
        <x:v>1 2</x:v>
      </x:c>
      <x:c r="K13" s="60" t="str">
        <x:v>Favourable outcomes divided by all equally likely outcomes gives 1 2.</x:v>
      </x:c>
      <x:c r="L13" s="60" t="str">
        <x:v>4MNKL</x:v>
      </x:c>
      <x:c r="M13" s="60" t="str">
        <x:v>Mathematics</x:v>
      </x:c>
      <x:c r="N13" s="60" t="str">
        <x:v>Mathematical notation requires reconstruction</x:v>
      </x:c>
      <x:c r="O13" s="60" t="str">
        <x:v>Correct from a reliable source, independently verify the answer, then rescreen.</x:v>
      </x:c>
    </x:row>
    <x:row r="14">
      <x:c r="A14" s="62" t="n">
        <x:v>67</x:v>
      </x:c>
      <x:c r="B14" s="60" t="str">
        <x:v>Mathematics</x:v>
      </x:c>
      <x:c r="C14" s="60" t="str">
        <x:v>Hard</x:v>
      </x:c>
      <x:c r="D14" s="60" t="str">
        <x:v>Trigonometry</x:v>
      </x:c>
      <x:c r="E14" s="60" t="str">
        <x:v>When sin A = 3 1, the value of cot A is</x:v>
      </x:c>
      <x:c r="F14" s="60" t="str">
        <x:v>3 22</x:v>
      </x:c>
      <x:c r="G14" s="60" t="str">
        <x:v>2 2</x:v>
      </x:c>
      <x:c r="H14" s="60" t="str">
        <x:v>22</x:v>
      </x:c>
      <x:c r="I14" s="60" t="str">
        <x:v>3</x:v>
      </x:c>
      <x:c r="J14" s="60" t="str">
        <x:v>3</x:v>
      </x:c>
      <x:c r="K14" s="60" t="str">
        <x:v>Using the standard trigonometric identity gives 3.</x:v>
      </x:c>
      <x:c r="L14" s="60" t="str">
        <x:v>4MNKL</x:v>
      </x:c>
      <x:c r="M14" s="60" t="str">
        <x:v>Mathematics</x:v>
      </x:c>
      <x:c r="N14" s="60" t="str">
        <x:v>Mathematical notation requires reconstruction</x:v>
      </x:c>
      <x:c r="O14" s="60" t="str">
        <x:v>Correct from a reliable source, independently verify the answer, then rescreen.</x:v>
      </x:c>
    </x:row>
    <x:row r="15">
      <x:c r="A15" s="62" t="n">
        <x:v>68</x:v>
      </x:c>
      <x:c r="B15" s="60" t="str">
        <x:v>Mathematics</x:v>
      </x:c>
      <x:c r="C15" s="60" t="str">
        <x:v>Hard</x:v>
      </x:c>
      <x:c r="D15" s="60" t="str">
        <x:v>Circle Theorems</x:v>
      </x:c>
      <x:c r="E15" s="60" t="str">
        <x:v>A circle centred at (–1, 2) passes through the point (0, 3). Radius of the circle is</x:v>
      </x:c>
      <x:c r="F15" s="60" t="str">
        <x:v>2 2</x:v>
      </x:c>
      <x:c r="G15" s="60" t="str">
        <x:v>2</x:v>
      </x:c>
      <x:c r="H15" s="60" t="str">
        <x:v>26</x:v>
      </x:c>
      <x:c r="I15" s="60" t="str">
        <x:v>1</x:v>
      </x:c>
      <x:c r="J15" s="60" t="str">
        <x:v>26</x:v>
      </x:c>
      <x:c r="K15" s="60" t="str">
        <x:v>The relevant circle measure for “A circle centred at 1 2 passes” is 26.</x:v>
      </x:c>
      <x:c r="L15" s="60" t="str">
        <x:v>4MNKL</x:v>
      </x:c>
      <x:c r="M15" s="60" t="str">
        <x:v>Mathematics</x:v>
      </x:c>
      <x:c r="N15" s="60" t="str">
        <x:v>Mathematical notation requires reconstruction</x:v>
      </x:c>
      <x:c r="O15" s="60" t="str">
        <x:v>Correct from a reliable source, independently verify the answer, then rescreen.</x:v>
      </x:c>
    </x:row>
    <x:row r="16">
      <x:c r="A16" s="62" t="n">
        <x:v>69</x:v>
      </x:c>
      <x:c r="B16" s="60" t="str">
        <x:v>Mathematics</x:v>
      </x:c>
      <x:c r="C16" s="60" t="str">
        <x:v>Easy</x:v>
      </x:c>
      <x:c r="D16" s="60" t="str">
        <x:v>General Mathematics</x:v>
      </x:c>
      <x:c r="E16" s="60" t="str">
        <x:v>ABCD is a parallelogram such that AF = 7 cm, FB = 3 cm and EF = 4 cm, length FD = equals</x:v>
      </x:c>
      <x:c r="F16" s="60" t="str">
        <x:v>4 21 cm</x:v>
      </x:c>
      <x:c r="G16" s="60" t="str">
        <x:v>3 28 cm</x:v>
      </x:c>
      <x:c r="H16" s="60" t="str">
        <x:v>7 12 cm</x:v>
      </x:c>
      <x:c r="I16" s="60" t="str">
        <x:v>5.5 cm</x:v>
      </x:c>
      <x:c r="J16" s="60" t="str">
        <x:v>3 28 cm</x:v>
      </x:c>
      <x:c r="K16" s="60" t="str">
        <x:v>Substituting the given values for “ABCD is a parallelogram such that AF” gives 3 28 cm.</x:v>
      </x:c>
      <x:c r="L16" s="60" t="str">
        <x:v>4MNKL</x:v>
      </x:c>
      <x:c r="M16" s="60" t="str">
        <x:v>Mathematics</x:v>
      </x:c>
      <x:c r="N16" s="60" t="str">
        <x:v>Mathematical notation requires reconstruction</x:v>
      </x:c>
      <x:c r="O16" s="60" t="str">
        <x:v>Correct from a reliable source, independently verify the answer, then rescreen.</x:v>
      </x:c>
    </x:row>
    <x:row r="17">
      <x:c r="A17" s="62" t="n">
        <x:v>70</x:v>
      </x:c>
      <x:c r="B17" s="60" t="str">
        <x:v>Mathematics</x:v>
      </x:c>
      <x:c r="C17" s="60" t="str">
        <x:v>Easy</x:v>
      </x:c>
      <x:c r="D17" s="60" t="str">
        <x:v>Sequences</x:v>
      </x:c>
      <x:c r="E17" s="60" t="str">
        <x:v>In an A.P., a = –3 and S17 = 357. The value of a17 is</x:v>
      </x:c>
      <x:c r="F17" s="60" t="str">
        <x:v>47</x:v>
      </x:c>
      <x:c r="G17" s="60" t="str">
        <x:v>39</x:v>
      </x:c>
      <x:c r="H17" s="60" t="str">
        <x:v>45</x:v>
      </x:c>
      <x:c r="I17" s="60" t="str">
        <x:v>42</x:v>
      </x:c>
      <x:c r="J17" s="60" t="str">
        <x:v>39</x:v>
      </x:c>
      <x:c r="K17" s="60" t="str">
        <x:v>Applying the arithmetic-progression relation gives 39.</x:v>
      </x:c>
      <x:c r="L17" s="60" t="str">
        <x:v>4MNKL</x:v>
      </x:c>
      <x:c r="M17" s="60" t="str">
        <x:v>Mathematics</x:v>
      </x:c>
      <x:c r="N17" s="60" t="str">
        <x:v>Mathematical notation requires reconstruction</x:v>
      </x:c>
      <x:c r="O17" s="60" t="str">
        <x:v>Correct from a reliable source, independently verify the answer, then rescreen.</x:v>
      </x:c>
    </x:row>
    <x:row r="18">
      <x:c r="A18" s="62" t="n">
        <x:v>73</x:v>
      </x:c>
      <x:c r="B18" s="60" t="str">
        <x:v>Mathematics</x:v>
      </x:c>
      <x:c r="C18" s="60" t="str">
        <x:v>Easy</x:v>
      </x:c>
      <x:c r="D18" s="60" t="str">
        <x:v>Probability</x:v>
      </x:c>
      <x:c r="E18" s="60" t="str">
        <x:v>Two dice are rolled together. The probability that sum of the numbers obtained is atmost 12, is</x:v>
      </x:c>
      <x:c r="F18" s="60" t="str">
        <x:v>1</x:v>
      </x:c>
      <x:c r="G18" s="60" t="str">
        <x:v>0</x:v>
      </x:c>
      <x:c r="H18" s="60" t="str">
        <x:v>2</x:v>
      </x:c>
      <x:c r="I18" s="60" t="str">
        <x:v>36 35</x:v>
      </x:c>
      <x:c r="J18" s="60" t="str">
        <x:v>2</x:v>
      </x:c>
      <x:c r="K18" s="60" t="str">
        <x:v>Favourable outcomes divided by all equally likely outcomes gives 2.</x:v>
      </x:c>
      <x:c r="L18" s="60" t="str">
        <x:v>4MNKL</x:v>
      </x:c>
      <x:c r="M18" s="60" t="str">
        <x:v>Mathematics</x:v>
      </x:c>
      <x:c r="N18" s="60" t="str">
        <x:v>Mathematical notation requires reconstruction</x:v>
      </x:c>
      <x:c r="O18" s="60" t="str">
        <x:v>Correct from a reliable source, independently verify the answer, then rescreen.</x:v>
      </x:c>
    </x:row>
    <x:row r="19">
      <x:c r="A19" s="62" t="n">
        <x:v>74</x:v>
      </x:c>
      <x:c r="B19" s="60" t="str">
        <x:v>Mathematics</x:v>
      </x:c>
      <x:c r="C19" s="60" t="str">
        <x:v>Easy</x:v>
      </x:c>
      <x:c r="D19" s="60" t="str">
        <x:v>Probability</x:v>
      </x:c>
      <x:c r="E19" s="60" t="str">
        <x:v>The probability of getting sum greater than 10, when two dice are rolled together, is</x:v>
      </x:c>
      <x:c r="F19" s="60" t="str">
        <x:v>9</x:v>
      </x:c>
      <x:c r="G19" s="60" t="str">
        <x:v>18</x:v>
      </x:c>
      <x:c r="H19" s="60" t="str">
        <x:v>12</x:v>
      </x:c>
      <x:c r="I19" s="60" t="str">
        <x:v>1</x:v>
      </x:c>
      <x:c r="J19" s="60" t="str">
        <x:v>9</x:v>
      </x:c>
      <x:c r="K19" s="60" t="str">
        <x:v>Favourable outcomes divided by all equally likely outcomes gives 9.</x:v>
      </x:c>
      <x:c r="L19" s="60" t="str">
        <x:v>5LMKN</x:v>
      </x:c>
      <x:c r="M19" s="60" t="str">
        <x:v>Mathematics</x:v>
      </x:c>
      <x:c r="N19" s="60" t="str">
        <x:v>Mathematical notation requires reconstruction</x:v>
      </x:c>
      <x:c r="O19" s="60" t="str">
        <x:v>Correct from a reliable source, independently verify the answer, then rescreen.</x:v>
      </x:c>
    </x:row>
    <x:row r="20">
      <x:c r="A20" s="62" t="n">
        <x:v>76</x:v>
      </x:c>
      <x:c r="B20" s="60" t="str">
        <x:v>Mathematics</x:v>
      </x:c>
      <x:c r="C20" s="60" t="str">
        <x:v>Hard</x:v>
      </x:c>
      <x:c r="D20" s="60" t="str">
        <x:v>Trigonometry</x:v>
      </x:c>
      <x:c r="E20" s="60" t="str">
        <x:v>The distance between the points (–4, 5) and (–1, 2) is</x:v>
      </x:c>
      <x:c r="F20" s="60" t="str">
        <x:v>5</x:v>
      </x:c>
      <x:c r="G20" s="60" t="str">
        <x:v>3 2</x:v>
      </x:c>
      <x:c r="H20" s="60" t="str">
        <x:v>6</x:v>
      </x:c>
      <x:c r="I20" s="60" t="str">
        <x:v>2 3</x:v>
      </x:c>
      <x:c r="J20" s="60" t="str">
        <x:v>3 2</x:v>
      </x:c>
      <x:c r="K20" s="60" t="str">
        <x:v>The coordinate formula for “The distance between the points 4 5” gives 3 2.</x:v>
      </x:c>
      <x:c r="L20" s="60" t="str">
        <x:v>5LMKN</x:v>
      </x:c>
      <x:c r="M20" s="60" t="str">
        <x:v>Mathematics</x:v>
      </x:c>
      <x:c r="N20" s="60" t="str">
        <x:v>Mathematical notation requires reconstruction</x:v>
      </x:c>
      <x:c r="O20" s="60" t="str">
        <x:v>Correct from a reliable source, independently verify the answer, then rescreen.</x:v>
      </x:c>
    </x:row>
    <x:row r="21">
      <x:c r="A21" s="62" t="n">
        <x:v>77</x:v>
      </x:c>
      <x:c r="B21" s="60" t="str">
        <x:v>Mathematics</x:v>
      </x:c>
      <x:c r="C21" s="60" t="str">
        <x:v>Medium</x:v>
      </x:c>
      <x:c r="D21" s="60" t="str">
        <x:v>Probability</x:v>
      </x:c>
      <x:c r="E21" s="60" t="str">
        <x:v>A bag contains some red and some white balls. A ball is drawn at random from the bag. If the probability of getting a red ball is 7 2, then the probability of getting a white ball is</x:v>
      </x:c>
      <x:c r="F21" s="60" t="str">
        <x:v>14</x:v>
      </x:c>
      <x:c r="G21" s="60" t="str">
        <x:v>7 5</x:v>
      </x:c>
      <x:c r="H21" s="60" t="str">
        <x:v>7</x:v>
      </x:c>
      <x:c r="I21" s="60" t="str">
        <x:v>7 2</x:v>
      </x:c>
      <x:c r="J21" s="60" t="str">
        <x:v>14</x:v>
      </x:c>
      <x:c r="K21" s="60" t="str">
        <x:v>Favourable outcomes divided by all equally likely outcomes gives 14.</x:v>
      </x:c>
      <x:c r="L21" s="60" t="str">
        <x:v>5LMKN</x:v>
      </x:c>
      <x:c r="M21" s="60" t="str">
        <x:v>Mathematics</x:v>
      </x:c>
      <x:c r="N21" s="60" t="str">
        <x:v>Mathematical notation requires reconstruction</x:v>
      </x:c>
      <x:c r="O21" s="60" t="str">
        <x:v>Correct from a reliable source, independently verify the answer, then rescreen.</x:v>
      </x:c>
    </x:row>
    <x:row r="22">
      <x:c r="A22" s="62" t="n">
        <x:v>78</x:v>
      </x:c>
      <x:c r="B22" s="60" t="str">
        <x:v>Mathematics</x:v>
      </x:c>
      <x:c r="C22" s="60" t="str">
        <x:v>Hard</x:v>
      </x:c>
      <x:c r="D22" s="60" t="str">
        <x:v>Trigonometry</x:v>
      </x:c>
      <x:c r="E22" s="60" t="str">
        <x:v>The distance between the points (–2, 5) and (5, –2) is</x:v>
      </x:c>
      <x:c r="F22" s="60" t="str">
        <x:v>7 2</x:v>
      </x:c>
      <x:c r="G22" s="60" t="str">
        <x:v>14</x:v>
      </x:c>
      <x:c r="H22" s="60" t="str">
        <x:v>2 7</x:v>
      </x:c>
      <x:c r="I22" s="60" t="str">
        <x:v>7</x:v>
      </x:c>
      <x:c r="J22" s="60" t="str">
        <x:v>7 2</x:v>
      </x:c>
      <x:c r="K22" s="60" t="str">
        <x:v>The coordinate formula for “The distance between the points 2 5” gives 7 2.</x:v>
      </x:c>
      <x:c r="L22" s="60" t="str">
        <x:v>5LMKN</x:v>
      </x:c>
      <x:c r="M22" s="60" t="str">
        <x:v>Mathematics</x:v>
      </x:c>
      <x:c r="N22" s="60" t="str">
        <x:v>Mathematical notation requires reconstruction</x:v>
      </x:c>
      <x:c r="O22" s="60" t="str">
        <x:v>Correct from a reliable source, independently verify the answer, then rescreen.</x:v>
      </x:c>
    </x:row>
    <x:row r="23">
      <x:c r="A23" s="62" t="n">
        <x:v>79</x:v>
      </x:c>
      <x:c r="B23" s="60" t="str">
        <x:v>Mathematics</x:v>
      </x:c>
      <x:c r="C23" s="60" t="str">
        <x:v>Hard</x:v>
      </x:c>
      <x:c r="D23" s="60" t="str">
        <x:v>Quadratic Equations &amp; Polynomials</x:v>
      </x:c>
      <x:c r="E23" s="60" t="str">
        <x:v>The graph of a polynomial p(x) is shown here. The number of zeroes of the polynomial p(x) is</x:v>
      </x:c>
      <x:c r="F23" s="60" t="str">
        <x:v>5</x:v>
      </x:c>
      <x:c r="G23" s="60" t="str">
        <x:v>1</x:v>
      </x:c>
      <x:c r="H23" s="60" t="str">
        <x:v>0</x:v>
      </x:c>
      <x:c r="I23" s="60" t="str">
        <x:v>4</x:v>
      </x:c>
      <x:c r="J23" s="60" t="str">
        <x:v>5</x:v>
      </x:c>
      <x:c r="K23" s="60" t="str">
        <x:v>Substituting the given values for “The graph of a polynomial p x” gives 5.</x:v>
      </x:c>
      <x:c r="L23" s="60" t="str">
        <x:v>5LMKN</x:v>
      </x:c>
      <x:c r="M23" s="60" t="str">
        <x:v>Mathematics</x:v>
      </x:c>
      <x:c r="N23" s="60" t="str">
        <x:v>Visual or diagram required but unavailable; Mathematical notation requires reconstruction</x:v>
      </x:c>
      <x:c r="O23" s="60" t="str">
        <x:v>Exclude until a visual is created or replace with a self-contained question.</x:v>
      </x:c>
    </x:row>
    <x:row r="24">
      <x:c r="A24" s="62" t="n">
        <x:v>81</x:v>
      </x:c>
      <x:c r="B24" s="60" t="str">
        <x:v>Mathematics</x:v>
      </x:c>
      <x:c r="C24" s="60" t="str">
        <x:v>Hard</x:v>
      </x:c>
      <x:c r="D24" s="60" t="str">
        <x:v>Quadratic Equations &amp; Polynomials</x:v>
      </x:c>
      <x:c r="E24" s="60" t="str">
        <x:v>The roots of the quadratic equation x2 + 9 = 0 are</x:v>
      </x:c>
      <x:c r="F24" s="60" t="str">
        <x:v>real and equal</x:v>
      </x:c>
      <x:c r="G24" s="60" t="str">
        <x:v>not real</x:v>
      </x:c>
      <x:c r="H24" s="60" t="str">
        <x:v>real and negative of each other</x:v>
      </x:c>
      <x:c r="I24" s="60" t="str">
        <x:v>rational numbers</x:v>
      </x:c>
      <x:c r="J24" s="60" t="str">
        <x:v>real and equal</x:v>
      </x:c>
      <x:c r="K24" s="60" t="str">
        <x:v>Substituting the given values for “The roots of the quadratic equation x2” gives real and equal.</x:v>
      </x:c>
      <x:c r="L24" s="60" t="str">
        <x:v>5LMKN</x:v>
      </x:c>
      <x:c r="M24" s="60" t="str">
        <x:v>Mathematics</x:v>
      </x:c>
      <x:c r="N24" s="60" t="str">
        <x:v>Mathematical notation requires reconstruction</x:v>
      </x:c>
      <x:c r="O24" s="60" t="str">
        <x:v>Correct from a reliable source, independently verify the answer, then rescreen.</x:v>
      </x:c>
    </x:row>
    <x:row r="25">
      <x:c r="A25" s="62" t="n">
        <x:v>83</x:v>
      </x:c>
      <x:c r="B25" s="60" t="str">
        <x:v>Mathematics</x:v>
      </x:c>
      <x:c r="C25" s="60" t="str">
        <x:v>Easy</x:v>
      </x:c>
      <x:c r="D25" s="60" t="str">
        <x:v>Probability</x:v>
      </x:c>
      <x:c r="E25" s="60" t="str">
        <x:v>Three coins are tossed together. The probability of getting exactly two tails is</x:v>
      </x:c>
      <x:c r="F25" s="60" t="str">
        <x:v>8 2</x:v>
      </x:c>
      <x:c r="G25" s="60" t="str">
        <x:v>2</x:v>
      </x:c>
      <x:c r="H25" s="60" t="str">
        <x:v>8 3</x:v>
      </x:c>
      <x:c r="I25" s="60" t="str">
        <x:v>1</x:v>
      </x:c>
      <x:c r="J25" s="60" t="str">
        <x:v>2</x:v>
      </x:c>
      <x:c r="K25" s="60" t="str">
        <x:v>Favourable outcomes divided by all equally likely outcomes gives 2.</x:v>
      </x:c>
      <x:c r="L25" s="60" t="str">
        <x:v>5LMKN</x:v>
      </x:c>
      <x:c r="M25" s="60" t="str">
        <x:v>Mathematics</x:v>
      </x:c>
      <x:c r="N25" s="60" t="str">
        <x:v>Mathematical notation requires reconstruction</x:v>
      </x:c>
      <x:c r="O25" s="60" t="str">
        <x:v>Correct from a reliable source, independently verify the answer, then rescreen.</x:v>
      </x:c>
    </x:row>
    <x:row r="26">
      <x:c r="A26" s="62" t="n">
        <x:v>84</x:v>
      </x:c>
      <x:c r="B26" s="60" t="str">
        <x:v>Mathematics</x:v>
      </x:c>
      <x:c r="C26" s="60" t="str">
        <x:v>Easy</x:v>
      </x:c>
      <x:c r="D26" s="60" t="str">
        <x:v>Probability</x:v>
      </x:c>
      <x:c r="E26" s="60" t="str">
        <x:v>A card is drawn at random from a well shuffled deck of 52 playing cards. The probability that it is either a ten or a king is</x:v>
      </x:c>
      <x:c r="F26" s="60" t="str">
        <x:v>1 26</x:v>
      </x:c>
      <x:c r="G26" s="60" t="str">
        <x:v>2 13</x:v>
      </x:c>
      <x:c r="H26" s="60" t="str">
        <x:v>1 13</x:v>
      </x:c>
      <x:c r="I26" s="60" t="str">
        <x:v>8 26</x:v>
      </x:c>
      <x:c r="J26" s="60" t="str">
        <x:v>1 13</x:v>
      </x:c>
      <x:c r="K26" s="60" t="str">
        <x:v>Favourable outcomes divided by all equally likely outcomes gives 1 13.</x:v>
      </x:c>
      <x:c r="L26" s="60" t="str">
        <x:v>5LMKN</x:v>
      </x:c>
      <x:c r="M26" s="60" t="str">
        <x:v>Mathematics</x:v>
      </x:c>
      <x:c r="N26" s="60" t="str">
        <x:v>Mathematical notation requires reconstruction</x:v>
      </x:c>
      <x:c r="O26" s="60" t="str">
        <x:v>Correct from a reliable source, independently verify the answer, then rescreen.</x:v>
      </x:c>
    </x:row>
    <x:row r="27">
      <x:c r="A27" s="62" t="n">
        <x:v>85</x:v>
      </x:c>
      <x:c r="B27" s="60" t="str">
        <x:v>Mathematics</x:v>
      </x:c>
      <x:c r="C27" s="60" t="str">
        <x:v>Easy</x:v>
      </x:c>
      <x:c r="D27" s="60" t="str">
        <x:v>Sequences</x:v>
      </x:c>
      <x:c r="E27" s="60" t="str">
        <x:v>If a n represents nth term of the A.P.– 15 4, – 10 4, – 5 4, …… then value of a16 – a12 is</x:v>
      </x:c>
      <x:c r="F27" s="60" t="str">
        <x:v>4</x:v>
      </x:c>
      <x:c r="G27" s="60" t="str">
        <x:v>5 4</x:v>
      </x:c>
      <x:c r="H27" s="60" t="str">
        <x:v>5</x:v>
      </x:c>
      <x:c r="I27" s="60" t="str">
        <x:v>25 4</x:v>
      </x:c>
      <x:c r="J27" s="60" t="str">
        <x:v>5</x:v>
      </x:c>
      <x:c r="K27" s="60" t="str">
        <x:v>Applying the arithmetic-progression relation gives 5.</x:v>
      </x:c>
      <x:c r="L27" s="60" t="str">
        <x:v>5LMKN</x:v>
      </x:c>
      <x:c r="M27" s="60" t="str">
        <x:v>Mathematics</x:v>
      </x:c>
      <x:c r="N27" s="60" t="str">
        <x:v>Mathematical notation requires reconstruction</x:v>
      </x:c>
      <x:c r="O27" s="60" t="str">
        <x:v>Correct from a reliable source, independently verify the answer, then rescreen.</x:v>
      </x:c>
    </x:row>
    <x:row r="28">
      <x:c r="A28" s="62" t="n">
        <x:v>86</x:v>
      </x:c>
      <x:c r="B28" s="60" t="str">
        <x:v>Mathematics</x:v>
      </x:c>
      <x:c r="C28" s="60" t="str">
        <x:v>Hard</x:v>
      </x:c>
      <x:c r="D28" s="60" t="str">
        <x:v>Quadratic Equations &amp; Polynomials</x:v>
      </x:c>
      <x:c r="E28" s="60" t="str">
        <x:v>The value of p for which roots of the quadratic equation x2 – px + 6 = 0 are rational, is</x:v>
      </x:c>
      <x:c r="F28" s="60" t="str">
        <x:v>1</x:v>
      </x:c>
      <x:c r="G28" s="60" t="str">
        <x:v>–5</x:v>
      </x:c>
      <x:c r="H28" s="60" t="str">
        <x:v>25</x:v>
      </x:c>
      <x:c r="I28" s="60" t="str">
        <x:v>5</x:v>
      </x:c>
      <x:c r="J28" s="60" t="str">
        <x:v>5</x:v>
      </x:c>
      <x:c r="K28" s="60" t="str">
        <x:v>Substituting the given values for “The value of p for which roots” gives 5.</x:v>
      </x:c>
      <x:c r="L28" s="60" t="str">
        <x:v>5LMKN</x:v>
      </x:c>
      <x:c r="M28" s="60" t="str">
        <x:v>Mathematics</x:v>
      </x:c>
      <x:c r="N28" s="60" t="str">
        <x:v>Mathematical notation requires reconstruction</x:v>
      </x:c>
      <x:c r="O28" s="60" t="str">
        <x:v>Correct from a reliable source, independently verify the answer, then rescreen.</x:v>
      </x:c>
    </x:row>
    <x:row r="29">
      <x:c r="A29" s="62" t="n">
        <x:v>87</x:v>
      </x:c>
      <x:c r="B29" s="60" t="str">
        <x:v>Mathematics</x:v>
      </x:c>
      <x:c r="C29" s="60" t="str">
        <x:v>Easy</x:v>
      </x:c>
      <x:c r="D29" s="60" t="str">
        <x:v>General Mathematics</x:v>
      </x:c>
      <x:c r="E29" s="60" t="str">
        <x:v>In the given figure, AB || EF. If AB = 24 cm, EF = 36 cm and DA = 7 cm, then AE equals</x:v>
      </x:c>
      <x:c r="F29" s="60" t="str">
        <x:v>2.5 cm</x:v>
      </x:c>
      <x:c r="G29" s="60" t="str">
        <x:v>10.5 cm</x:v>
      </x:c>
      <x:c r="H29" s="60" t="str">
        <x:v>3.5 cm</x:v>
      </x:c>
      <x:c r="I29" s="60" t="str">
        <x:v>14 3 cm</x:v>
      </x:c>
      <x:c r="J29" s="60" t="str">
        <x:v>10.5 cm</x:v>
      </x:c>
      <x:c r="K29" s="60" t="str">
        <x:v>Substituting the given values for “In the given figure AB EF If” gives 10.5 cm.</x:v>
      </x:c>
      <x:c r="L29" s="60" t="str">
        <x:v>5LMKN</x:v>
      </x:c>
      <x:c r="M29" s="60" t="str">
        <x:v>Mathematics</x:v>
      </x:c>
      <x:c r="N29" s="60" t="str">
        <x:v>Visual or diagram required but unavailable</x:v>
      </x:c>
      <x:c r="O29" s="60" t="str">
        <x:v>Exclude until a visual is created or replace with a self-contained question.</x:v>
      </x:c>
    </x:row>
    <x:row r="30">
      <x:c r="A30" s="62" t="n">
        <x:v>89</x:v>
      </x:c>
      <x:c r="B30" s="60" t="str">
        <x:v>Mathematics</x:v>
      </x:c>
      <x:c r="C30" s="60" t="str">
        <x:v>Hard</x:v>
      </x:c>
      <x:c r="D30" s="60" t="str">
        <x:v>Quadratic Equations &amp; Polynomials</x:v>
      </x:c>
      <x:c r="E30" s="60" t="str">
        <x:v>The value of m for which the quadratic equation 3x2 – 7x + m = 0 has real and equal roots, is</x:v>
      </x:c>
      <x:c r="F30" s="60" t="str">
        <x:v>7</x:v>
      </x:c>
      <x:c r="G30" s="60" t="str">
        <x:v>49 12</x:v>
      </x:c>
      <x:c r="H30" s="60" t="str">
        <x:v>49 3</x:v>
      </x:c>
      <x:c r="I30" s="60" t="str">
        <x:v>4</x:v>
      </x:c>
      <x:c r="J30" s="60" t="str">
        <x:v>4</x:v>
      </x:c>
      <x:c r="K30" s="60" t="str">
        <x:v>Substituting the given values for “The value of m for which the” gives 4.</x:v>
      </x:c>
      <x:c r="L30" s="60" t="str">
        <x:v>5LMKN</x:v>
      </x:c>
      <x:c r="M30" s="60" t="str">
        <x:v>Mathematics</x:v>
      </x:c>
      <x:c r="N30" s="60" t="str">
        <x:v>Mathematical notation requires reconstruction</x:v>
      </x:c>
      <x:c r="O30" s="60" t="str">
        <x:v>Correct from a reliable source, independently verify the answer, then rescreen.</x:v>
      </x:c>
    </x:row>
    <x:row r="31">
      <x:c r="A31" s="62" t="n">
        <x:v>90</x:v>
      </x:c>
      <x:c r="B31" s="60" t="str">
        <x:v>Mathematics</x:v>
      </x:c>
      <x:c r="C31" s="60" t="str">
        <x:v>Hard</x:v>
      </x:c>
      <x:c r="D31" s="60" t="str">
        <x:v>Quadratic Equations &amp; Polynomials</x:v>
      </x:c>
      <x:c r="E31" s="60" t="str">
        <x:v>For what value of k, the product of zeroes of the polynomial kx2</x:v>
      </x:c>
      <x:c r="F31" s="60" t="str">
        <x:v>14 7</x:v>
      </x:c>
      <x:c r="G31" s="60" t="str">
        <x:v>2 7</x:v>
      </x:c>
      <x:c r="H31" s="60" t="str">
        <x:v>2 2</x:v>
      </x:c>
      <x:c r="I31" s="60" t="str">
        <x:v>7 In an A.P., if a — 8 and q o =—19, then value of d is : 11 (b) 9 27 (c) 10 The mid-point of the line segment joining the points (—1</x:v>
      </x:c>
      <x:c r="J31" s="60" t="str">
        <x:v>14 7</x:v>
      </x:c>
      <x:c r="K31" s="60" t="str">
        <x:v>Substituting the given values for “For what value of k the product” gives 14 7.</x:v>
      </x:c>
      <x:c r="L31" s="60" t="str">
        <x:v>C3ABD/1</x:v>
      </x:c>
      <x:c r="M31" s="60" t="str">
        <x:v>Mathematics</x:v>
      </x:c>
      <x:c r="N31" s="60" t="str">
        <x:v>Mathematical notation requires reconstruction; Truncated question and neighbouring content spliced into an option.</x:v>
      </x:c>
      <x:c r="O31" s="60" t="str">
        <x:v>Correct from a reliable source, independently verify the answer, then rescreen.</x:v>
      </x:c>
    </x:row>
    <x:row r="32">
      <x:c r="A32" s="62" t="n">
        <x:v>93</x:v>
      </x:c>
      <x:c r="B32" s="60" t="str">
        <x:v>Mathematics</x:v>
      </x:c>
      <x:c r="C32" s="60" t="str">
        <x:v>Easy</x:v>
      </x:c>
      <x:c r="D32" s="60" t="str">
        <x:v>Statistics</x:v>
      </x:c>
      <x:c r="E32" s="60" t="str">
        <x:v>The median group in the following frequency distribution is : Class 0 – 10 10 – 20 20 – 30 30 – 40 40 – 50 50 – 60 Frequency 5 8 20 15 7 5</x:v>
      </x:c>
      <x:c r="F32" s="60" t="str">
        <x:v>10 – 20</x:v>
      </x:c>
      <x:c r="G32" s="60" t="str">
        <x:v>20 – 30</x:v>
      </x:c>
      <x:c r="H32" s="60" t="str">
        <x:v>30 – 40</x:v>
      </x:c>
      <x:c r="I32" s="60" t="str">
        <x:v>40 – 50</x:v>
      </x:c>
      <x:c r="J32" s="60" t="str">
        <x:v>40 – 50</x:v>
      </x:c>
      <x:c r="K32" s="60" t="str">
        <x:v>Substituting the given data in the statistics formula gives 40 – 50.</x:v>
      </x:c>
      <x:c r="L32" s="60" t="str">
        <x:v>C4ABD/4</x:v>
      </x:c>
      <x:c r="M32" s="60" t="str">
        <x:v>Mathematics</x:v>
      </x:c>
      <x:c r="N32" s="60" t="str">
        <x:v>Incorrect key: the displayed median class is 20–30, not 40–50.</x:v>
      </x:c>
      <x:c r="O32" s="60" t="str">
        <x:v>Correct from a reliable source, independently verify the answer, then rescreen.</x:v>
      </x:c>
    </x:row>
    <x:row r="33">
      <x:c r="A33" s="62" t="n">
        <x:v>94</x:v>
      </x:c>
      <x:c r="B33" s="60" t="str">
        <x:v>Mathematics</x:v>
      </x:c>
      <x:c r="C33" s="60" t="str">
        <x:v>Hard</x:v>
      </x:c>
      <x:c r="D33" s="60" t="str">
        <x:v>Trigonometry</x:v>
      </x:c>
      <x:c r="E33" s="60" t="str">
        <x:v>Area of a sector of angle q (in degrees) of a circle with radius r is</x:v>
      </x:c>
      <x:c r="F33" s="60" t="str">
        <x:v>180 q ´ 2 p r</x:v>
      </x:c>
      <x:c r="G33" s="60" t="str">
        <x:v>180 q ´ p r 2</x:v>
      </x:c>
      <x:c r="H33" s="60" t="str">
        <x:v>360 q ´ 2 p r</x:v>
      </x:c>
      <x:c r="I33" s="60" t="str">
        <x:v>720 q ´ 2 p r 2</x:v>
      </x:c>
      <x:c r="J33" s="60" t="str">
        <x:v>720 q ´ 2 p r 2</x:v>
      </x:c>
      <x:c r="K33" s="60" t="str">
        <x:v>The relevant circle measure for “Area of a sector of angle q” is 720 q ´ 2 p r 2.</x:v>
      </x:c>
      <x:c r="L33" s="60" t="str">
        <x:v>C4ABD/4</x:v>
      </x:c>
      <x:c r="M33" s="60" t="str">
        <x:v>Mathematics</x:v>
      </x:c>
      <x:c r="N33" s="60" t="str">
        <x:v>Mathematical notation requires reconstruction; Formula notation is corrupted.</x:v>
      </x:c>
      <x:c r="O33" s="60" t="str">
        <x:v>Correct from a reliable source, independently verify the answer, then rescreen.</x:v>
      </x:c>
    </x:row>
    <x:row r="34">
      <x:c r="A34" s="62" t="n">
        <x:v>95</x:v>
      </x:c>
      <x:c r="B34" s="60" t="str">
        <x:v>Mathematics</x:v>
      </x:c>
      <x:c r="C34" s="60" t="str">
        <x:v>Easy</x:v>
      </x:c>
      <x:c r="D34" s="60" t="str">
        <x:v>General Mathematics</x:v>
      </x:c>
      <x:c r="E34" s="60" t="str">
        <x:v>If 2800 = 2 x ´ 5 y ´ 7, then the value of (x + y) is</x:v>
      </x:c>
      <x:c r="F34" s="60" t="str">
        <x:v>5</x:v>
      </x:c>
      <x:c r="G34" s="60" t="str">
        <x:v>4</x:v>
      </x:c>
      <x:c r="H34" s="60" t="str">
        <x:v>8</x:v>
      </x:c>
      <x:c r="I34" s="60" t="str">
        <x:v>6</x:v>
      </x:c>
      <x:c r="J34" s="60" t="str">
        <x:v>6</x:v>
      </x:c>
      <x:c r="K34" s="60" t="str">
        <x:v>Substituting the given values for “If 2800 2 x 5 y 7” gives 6.</x:v>
      </x:c>
      <x:c r="L34" s="60" t="str">
        <x:v>C4ABD/4</x:v>
      </x:c>
      <x:c r="M34" s="60" t="str">
        <x:v>Mathematics</x:v>
      </x:c>
      <x:c r="N34" s="60" t="str">
        <x:v>Mathematical notation requires reconstruction</x:v>
      </x:c>
      <x:c r="O34" s="60" t="str">
        <x:v>Correct from a reliable source, independently verify the answer, then rescreen.</x:v>
      </x:c>
    </x:row>
    <x:row r="35">
      <x:c r="A35" s="62" t="n">
        <x:v>96</x:v>
      </x:c>
      <x:c r="B35" s="60" t="str">
        <x:v>Mathematics</x:v>
      </x:c>
      <x:c r="C35" s="60" t="str">
        <x:v>Hard</x:v>
      </x:c>
      <x:c r="D35" s="60" t="str">
        <x:v>Trigonometry</x:v>
      </x:c>
      <x:c r="E35" s="60" t="str">
        <x:v>The distance of the point (4, 5) from x - axis is</x:v>
      </x:c>
      <x:c r="F35" s="60" t="str">
        <x:v>5</x:v>
      </x:c>
      <x:c r="G35" s="60" t="str">
        <x:v>4</x:v>
      </x:c>
      <x:c r="H35" s="60" t="str">
        <x:v>9</x:v>
      </x:c>
      <x:c r="I35" s="60" t="str">
        <x:v>1</x:v>
      </x:c>
      <x:c r="J35" s="60" t="str">
        <x:v>9</x:v>
      </x:c>
      <x:c r="K35" s="60" t="str">
        <x:v>The coordinate formula for “The distance of the point 4 5” gives 9.</x:v>
      </x:c>
      <x:c r="L35" s="60" t="str">
        <x:v>C4ABD/4</x:v>
      </x:c>
      <x:c r="M35" s="60" t="str">
        <x:v>Mathematics</x:v>
      </x:c>
      <x:c r="N35" s="60" t="str">
        <x:v>Mathematical notation requires reconstruction</x:v>
      </x:c>
      <x:c r="O35" s="60" t="str">
        <x:v>Correct from a reliable source, independently verify the answer, then rescreen.</x:v>
      </x:c>
    </x:row>
    <x:row r="36">
      <x:c r="A36" s="62" t="n">
        <x:v>98</x:v>
      </x:c>
      <x:c r="B36" s="60" t="str">
        <x:v>Mathematics</x:v>
      </x:c>
      <x:c r="C36" s="60" t="str">
        <x:v>Easy</x:v>
      </x:c>
      <x:c r="D36" s="60" t="str">
        <x:v>Probability</x:v>
      </x:c>
      <x:c r="E36" s="60" t="str">
        <x:v>A fair die is thrown once. The probability of getting a composite number less than 5 is</x:v>
      </x:c>
      <x:c r="F36" s="60" t="str">
        <x:v>3</x:v>
      </x:c>
      <x:c r="G36" s="60" t="str">
        <x:v>3 2</x:v>
      </x:c>
      <x:c r="H36" s="60" t="str">
        <x:v>0</x:v>
      </x:c>
      <x:c r="I36" s="60" t="str">
        <x:v>6</x:v>
      </x:c>
      <x:c r="J36" s="60" t="str">
        <x:v>6</x:v>
      </x:c>
      <x:c r="K36" s="60" t="str">
        <x:v>Favourable outcomes divided by all equally likely outcomes gives 6.</x:v>
      </x:c>
      <x:c r="L36" s="60" t="str">
        <x:v>C4ABD/4</x:v>
      </x:c>
      <x:c r="M36" s="60" t="str">
        <x:v>Mathematics</x:v>
      </x:c>
      <x:c r="N36" s="60" t="str">
        <x:v>Mathematical notation requires reconstruction</x:v>
      </x:c>
      <x:c r="O36" s="60" t="str">
        <x:v>Correct from a reliable source, independently verify the answer, then rescreen.</x:v>
      </x:c>
    </x:row>
    <x:row r="37">
      <x:c r="A37" s="62" t="n">
        <x:v>99</x:v>
      </x:c>
      <x:c r="B37" s="60" t="str">
        <x:v>Mathematics</x:v>
      </x:c>
      <x:c r="C37" s="60" t="str">
        <x:v>Hard</x:v>
      </x:c>
      <x:c r="D37" s="60" t="str">
        <x:v>Trigonometry</x:v>
      </x:c>
      <x:c r="E37" s="60" t="str">
        <x:v>If 5 tan A = 3, then the value of cot A is</x:v>
      </x:c>
      <x:c r="F37" s="60" t="str">
        <x:v>5 3</x:v>
      </x:c>
      <x:c r="G37" s="60" t="str">
        <x:v>3 5</x:v>
      </x:c>
      <x:c r="H37" s="60" t="str">
        <x:v>4 3</x:v>
      </x:c>
      <x:c r="I37" s="60" t="str">
        <x:v>5 4</x:v>
      </x:c>
      <x:c r="J37" s="60" t="str">
        <x:v>3 5</x:v>
      </x:c>
      <x:c r="K37" s="60" t="str">
        <x:v>Using the standard trigonometric identity gives 3 5.</x:v>
      </x:c>
      <x:c r="L37" s="60" t="str">
        <x:v>C4ABD/4</x:v>
      </x:c>
      <x:c r="M37" s="60" t="str">
        <x:v>Mathematics</x:v>
      </x:c>
      <x:c r="N37" s="60" t="str">
        <x:v>Mathematical notation requires reconstruction</x:v>
      </x:c>
      <x:c r="O37" s="60" t="str">
        <x:v>Correct from a reliable source, independently verify the answer, then rescreen.</x:v>
      </x:c>
    </x:row>
    <x:row r="38">
      <x:c r="A38" s="62" t="n">
        <x:v>102</x:v>
      </x:c>
      <x:c r="B38" s="60" t="str">
        <x:v>Mathematics</x:v>
      </x:c>
      <x:c r="C38" s="60" t="str">
        <x:v>Hard</x:v>
      </x:c>
      <x:c r="D38" s="60" t="str">
        <x:v>Quadratic Equations &amp; Polynomials</x:v>
      </x:c>
      <x:c r="E38" s="60" t="str">
        <x:v>What should be added to the polynomial x 2 – 5x + 4, so that 3 is a zero of the resulting polynomial?</x:v>
      </x:c>
      <x:c r="F38" s="60" t="str">
        <x:v>1</x:v>
      </x:c>
      <x:c r="G38" s="60" t="str">
        <x:v>2</x:v>
      </x:c>
      <x:c r="H38" s="60" t="str">
        <x:v>4</x:v>
      </x:c>
      <x:c r="I38" s="60" t="str">
        <x:v>5</x:v>
      </x:c>
      <x:c r="J38" s="60" t="str">
        <x:v>1</x:v>
      </x:c>
      <x:c r="K38" s="60" t="str">
        <x:v>Substituting the given values for “What should be added to the polynomial” gives 1.</x:v>
      </x:c>
      <x:c r="L38" s="60" t="str">
        <x:v>C4ABD/4</x:v>
      </x:c>
      <x:c r="M38" s="60" t="str">
        <x:v>Mathematics</x:v>
      </x:c>
      <x:c r="N38" s="60" t="str">
        <x:v>Mathematical notation requires reconstruction</x:v>
      </x:c>
      <x:c r="O38" s="60" t="str">
        <x:v>Correct from a reliable source, independently verify the answer, then rescreen.</x:v>
      </x:c>
    </x:row>
    <x:row r="39">
      <x:c r="A39" s="62" t="n">
        <x:v>103</x:v>
      </x:c>
      <x:c r="B39" s="60" t="str">
        <x:v>Mathematics</x:v>
      </x:c>
      <x:c r="C39" s="60" t="str">
        <x:v>Easy</x:v>
      </x:c>
      <x:c r="D39" s="60" t="str">
        <x:v>Probability</x:v>
      </x:c>
      <x:c r="E39" s="60" t="str">
        <x:v>A die is rolled once. What is the probability of getting an odd prime number?</x:v>
      </x:c>
      <x:c r="F39" s="60" t="str">
        <x:v>6</x:v>
      </x:c>
      <x:c r="G39" s="60" t="str">
        <x:v>3</x:v>
      </x:c>
      <x:c r="H39" s="60" t="str">
        <x:v>3 2</x:v>
      </x:c>
      <x:c r="I39" s="60" t="str">
        <x:v>4 3</x:v>
      </x:c>
      <x:c r="J39" s="60" t="str">
        <x:v>3 2</x:v>
      </x:c>
      <x:c r="K39" s="60" t="str">
        <x:v>Favourable outcomes divided by all equally likely outcomes gives 3 2.</x:v>
      </x:c>
      <x:c r="L39" s="60" t="str">
        <x:v>C5ABD/5</x:v>
      </x:c>
      <x:c r="M39" s="60" t="str">
        <x:v>Mathematics</x:v>
      </x:c>
      <x:c r="N39" s="60" t="str">
        <x:v>Mathematical notation requires reconstruction</x:v>
      </x:c>
      <x:c r="O39" s="60" t="str">
        <x:v>Correct from a reliable source, independently verify the answer, then rescreen.</x:v>
      </x:c>
    </x:row>
    <x:row r="40">
      <x:c r="A40" s="62" t="n">
        <x:v>106</x:v>
      </x:c>
      <x:c r="B40" s="60" t="str">
        <x:v>Mathematics</x:v>
      </x:c>
      <x:c r="C40" s="60" t="str">
        <x:v>Easy</x:v>
      </x:c>
      <x:c r="D40" s="60" t="str">
        <x:v>General Mathematics</x:v>
      </x:c>
      <x:c r="E40" s="60" t="str">
        <x:v>If x is a whole number, then 8 x ends with an even di git, except for which value of x?</x:v>
      </x:c>
      <x:c r="F40" s="60" t="str">
        <x:v>6</x:v>
      </x:c>
      <x:c r="G40" s="60" t="str">
        <x:v>4</x:v>
      </x:c>
      <x:c r="H40" s="60" t="str">
        <x:v>2</x:v>
      </x:c>
      <x:c r="I40" s="60" t="str">
        <x:v>0</x:v>
      </x:c>
      <x:c r="J40" s="60" t="str">
        <x:v>0</x:v>
      </x:c>
      <x:c r="K40" s="60" t="str">
        <x:v>Substituting the given values for “If x is a whole number then” gives 0.</x:v>
      </x:c>
      <x:c r="L40" s="60" t="str">
        <x:v>C5ABD/5</x:v>
      </x:c>
      <x:c r="M40" s="60" t="str">
        <x:v>Mathematics</x:v>
      </x:c>
      <x:c r="N40" s="60" t="str">
        <x:v>Mathematical notation requires reconstruction</x:v>
      </x:c>
      <x:c r="O40" s="60" t="str">
        <x:v>Correct from a reliable source, independently verify the answer, then rescreen.</x:v>
      </x:c>
    </x:row>
    <x:row r="41">
      <x:c r="A41" s="62" t="n">
        <x:v>108</x:v>
      </x:c>
      <x:c r="B41" s="60" t="str">
        <x:v>Mathematics</x:v>
      </x:c>
      <x:c r="C41" s="60" t="str">
        <x:v>Easy</x:v>
      </x:c>
      <x:c r="D41" s="60" t="str">
        <x:v>Probability</x:v>
      </x:c>
      <x:c r="E41" s="60" t="str">
        <x:v>A bag ha s 4 red balls and 2 yellow balls. A ball is drawn at random from the bag without looking into the bag. What is the probability of getting a yellow ball?</x:v>
      </x:c>
      <x:c r="F41" s="60" t="str">
        <x:v>6</x:v>
      </x:c>
      <x:c r="G41" s="60" t="str">
        <x:v>3 2</x:v>
      </x:c>
      <x:c r="H41" s="60" t="str">
        <x:v>3</x:v>
      </x:c>
      <x:c r="I41" s="60" t="str">
        <x:v>1</x:v>
      </x:c>
      <x:c r="J41" s="60" t="str">
        <x:v>3 2</x:v>
      </x:c>
      <x:c r="K41" s="60" t="str">
        <x:v>Favourable outcomes divided by all equally likely outcomes gives 3 2.</x:v>
      </x:c>
      <x:c r="L41" s="60" t="str">
        <x:v>C5ABD/5</x:v>
      </x:c>
      <x:c r="M41" s="60" t="str">
        <x:v>Mathematics</x:v>
      </x:c>
      <x:c r="N41" s="60" t="str">
        <x:v>Mathematical notation requires reconstruction</x:v>
      </x:c>
      <x:c r="O41" s="60" t="str">
        <x:v>Correct from a reliable source, independently verify the answer, then rescreen.</x:v>
      </x:c>
    </x:row>
    <x:row r="42">
      <x:c r="A42" s="62" t="n">
        <x:v>109</x:v>
      </x:c>
      <x:c r="B42" s="60" t="str">
        <x:v>Mathematics</x:v>
      </x:c>
      <x:c r="C42" s="60" t="str">
        <x:v>Hard</x:v>
      </x:c>
      <x:c r="D42" s="60" t="str">
        <x:v>Trigonometry</x:v>
      </x:c>
      <x:c r="E42" s="60" t="str">
        <x:v>If sin 2 q = 2 1 , then the value of tan 2 q is</x:v>
      </x:c>
      <x:c r="F42" s="60" t="str">
        <x:v>3</x:v>
      </x:c>
      <x:c r="G42" s="60" t="str">
        <x:v>3</x:v>
      </x:c>
      <x:c r="H42" s="60" t="str">
        <x:v>0</x:v>
      </x:c>
      <x:c r="I42" s="60" t="str">
        <x:v>1</x:v>
      </x:c>
      <x:c r="J42" s="60" t="str">
        <x:v>3</x:v>
      </x:c>
      <x:c r="K42" s="60" t="str">
        <x:v>Using the standard trigonometric identity gives 3.</x:v>
      </x:c>
      <x:c r="L42" s="60" t="str">
        <x:v>C5ABD/5</x:v>
      </x:c>
      <x:c r="M42" s="60" t="str">
        <x:v>Mathematics</x:v>
      </x:c>
      <x:c r="N42" s="60" t="str">
        <x:v>Duplicate answer options; Stored answer matches more than one option; Mathematical notation requires reconstruction; Duplicate correct options and corrupted trigonometric notation.</x:v>
      </x:c>
      <x:c r="O42" s="60" t="str">
        <x:v>Correct from a reliable source, independently verify the answer, then rescreen.</x:v>
      </x:c>
    </x:row>
    <x:row r="43">
      <x:c r="A43" s="62" t="n">
        <x:v>110</x:v>
      </x:c>
      <x:c r="B43" s="60" t="str">
        <x:v>Mathematics</x:v>
      </x:c>
      <x:c r="C43" s="60" t="str">
        <x:v>Easy</x:v>
      </x:c>
      <x:c r="D43" s="60" t="str">
        <x:v>Statistics</x:v>
      </x:c>
      <x:c r="E43" s="60" t="str">
        <x:v>If the difference of mode and median of a data is 24, then the difference of median and mean of the same data is</x:v>
      </x:c>
      <x:c r="F43" s="60" t="str">
        <x:v>8</x:v>
      </x:c>
      <x:c r="G43" s="60" t="str">
        <x:v>12</x:v>
      </x:c>
      <x:c r="H43" s="60" t="str">
        <x:v>24</x:v>
      </x:c>
      <x:c r="I43" s="60" t="str">
        <x:v>34</x:v>
      </x:c>
      <x:c r="J43" s="60" t="str">
        <x:v>8</x:v>
      </x:c>
      <x:c r="K43" s="60" t="str">
        <x:v>Substituting the given data in the statistics formula gives 8.</x:v>
      </x:c>
      <x:c r="L43" s="60" t="str">
        <x:v>C5ABD/5</x:v>
      </x:c>
      <x:c r="M43" s="60" t="str">
        <x:v>Mathematics</x:v>
      </x:c>
      <x:c r="N43" s="60" t="str">
        <x:v>Mathematical notation requires reconstruction</x:v>
      </x:c>
      <x:c r="O43" s="60" t="str">
        <x:v>Correct from a reliable source, independently verify the answer, then rescreen.</x:v>
      </x:c>
    </x:row>
    <x:row r="44">
      <x:c r="A44" s="62" t="n">
        <x:v>113</x:v>
      </x:c>
      <x:c r="B44" s="60" t="str">
        <x:v>Mathematics</x:v>
      </x:c>
      <x:c r="C44" s="60" t="str">
        <x:v>Easy</x:v>
      </x:c>
      <x:c r="D44" s="60" t="str">
        <x:v>Probability</x:v>
      </x:c>
      <x:c r="E44" s="60" t="str">
        <x:v>A letter is chosen at random from the word ‘MATHEMATICS’. What is the probability that it will be a ‘vowel’?</x:v>
      </x:c>
      <x:c r="F44" s="60" t="str">
        <x:v>11 3</x:v>
      </x:c>
      <x:c r="G44" s="60" t="str">
        <x:v>11 4</x:v>
      </x:c>
      <x:c r="H44" s="60" t="str">
        <x:v>11 5</x:v>
      </x:c>
      <x:c r="I44" s="60" t="str">
        <x:v>11 7 Q uestions number 1 9 and 20 are Assertion and Reason based questions. Two statements are given , one labelled as Assertio n (A) and the other is labelled as Reason (R). Select the correct answer to the se questions from the codes</x:v>
      </x:c>
      <x:c r="J44" s="60" t="str">
        <x:v>11 5</x:v>
      </x:c>
      <x:c r="K44" s="60" t="str">
        <x:v>Favourable outcomes divided by all equally likely outcomes gives 11 5.</x:v>
      </x:c>
      <x:c r="L44" s="60" t="str">
        <x:v>C5ABD/5</x:v>
      </x:c>
      <x:c r="M44" s="60" t="str">
        <x:v>Mathematics</x:v>
      </x:c>
      <x:c r="N44" s="60" t="str">
        <x:v>Neighbouring question or instruction text is spliced into the record; Mathematical notation requires reconstruction; Neighbouring assertion/reason instructions are spliced into an option.</x:v>
      </x:c>
      <x:c r="O44" s="60" t="str">
        <x:v>Correct from a reliable source, independently verify the answer, then rescreen.</x:v>
      </x:c>
    </x:row>
    <x:row r="45">
      <x:c r="A45" s="62" t="n">
        <x:v>114</x:v>
      </x:c>
      <x:c r="B45" s="60" t="str">
        <x:v>Mathematics</x:v>
      </x:c>
      <x:c r="C45" s="60" t="str">
        <x:v>Hard</x:v>
      </x:c>
      <x:c r="D45" s="60" t="str">
        <x:v>Trigonometry</x:v>
      </x:c>
      <x:c r="E45" s="60" t="str">
        <x:v>AP and AQ are tangents drawn from an external point A to a circle with centre O and inclined to each other at an angle of 90 ° . If the length of each tangent is 2 cm, then t he radius of the circle is</x:v>
      </x:c>
      <x:c r="F45" s="60" t="str">
        <x:v>4 cm</x:v>
      </x:c>
      <x:c r="G45" s="60" t="str">
        <x:v>2 cm</x:v>
      </x:c>
      <x:c r="H45" s="60" t="str">
        <x:v>2 2 cm</x:v>
      </x:c>
      <x:c r="I45" s="60" t="str">
        <x:v>1 cm</x:v>
      </x:c>
      <x:c r="J45" s="60" t="str">
        <x:v>2 2 cm</x:v>
      </x:c>
      <x:c r="K45" s="60" t="str">
        <x:v>Favourable outcomes divided by all equally likely outcomes gives 2 2 cm.</x:v>
      </x:c>
      <x:c r="L45" s="60" t="str">
        <x:v>C5ABD/5</x:v>
      </x:c>
      <x:c r="M45" s="60" t="str">
        <x:v>Mathematics</x:v>
      </x:c>
      <x:c r="N45" s="60" t="str">
        <x:v>Mathematical notation requires reconstruction</x:v>
      </x:c>
      <x:c r="O45" s="60" t="str">
        <x:v>Correct from a reliable source, independently verify the answer, then rescreen.</x:v>
      </x:c>
    </x:row>
    <x:row r="46">
      <x:c r="A46" s="62" t="n">
        <x:v>115</x:v>
      </x:c>
      <x:c r="B46" s="60" t="str">
        <x:v>Mathematics</x:v>
      </x:c>
      <x:c r="C46" s="60" t="str">
        <x:v>Hard</x:v>
      </x:c>
      <x:c r="D46" s="60" t="str">
        <x:v>Trigonometry</x:v>
      </x:c>
      <x:c r="E46" s="60" t="str">
        <x:v>If x = 4 sin q , y = 4 cos q , then the value of (x 2 + y 2 ) is</x:v>
      </x:c>
      <x:c r="F46" s="60" t="str">
        <x:v>4</x:v>
      </x:c>
      <x:c r="G46" s="60" t="str">
        <x:v>4</x:v>
      </x:c>
      <x:c r="H46" s="60" t="str">
        <x:v>16</x:v>
      </x:c>
      <x:c r="I46" s="60" t="str">
        <x:v>16</x:v>
      </x:c>
      <x:c r="J46" s="60" t="str">
        <x:v>16</x:v>
      </x:c>
      <x:c r="K46" s="60" t="str">
        <x:v>Using the standard trigonometric identity gives 16.</x:v>
      </x:c>
      <x:c r="L46" s="60" t="str">
        <x:v>C5ABD/5</x:v>
      </x:c>
      <x:c r="M46" s="60" t="str">
        <x:v>Mathematics</x:v>
      </x:c>
      <x:c r="N46" s="60" t="str">
        <x:v>Duplicate answer options; Stored answer matches more than one option; Mathematical notation requires reconstruction; Duplicate options and corrupted trigonometric notation.</x:v>
      </x:c>
      <x:c r="O46" s="60" t="str">
        <x:v>Correct from a reliable source, independently verify the answer, then rescreen.</x:v>
      </x:c>
    </x:row>
    <x:row r="47">
      <x:c r="A47" s="62" t="n">
        <x:v>117</x:v>
      </x:c>
      <x:c r="B47" s="60" t="str">
        <x:v>Mathematics</x:v>
      </x:c>
      <x:c r="C47" s="60" t="str">
        <x:v>Easy</x:v>
      </x:c>
      <x:c r="D47" s="60" t="str">
        <x:v>General Mathematics</x:v>
      </x:c>
      <x:c r="E47" s="60" t="str">
        <x:v>The lower limit of the class is</x:v>
      </x:c>
      <x:c r="F47" s="60" t="str">
        <x:v>6</x:v>
      </x:c>
      <x:c r="G47" s="60" t="str">
        <x:v>7</x:v>
      </x:c>
      <x:c r="H47" s="60" t="str">
        <x:v>8</x:v>
      </x:c>
      <x:c r="I47" s="60" t="str">
        <x:v>12 1 5 - 8</x:v>
      </x:c>
      <x:c r="J47" s="60" t="str">
        <x:v>6</x:v>
      </x:c>
      <x:c r="K47" s="60" t="str">
        <x:v>Substituting the given values for “The lower limit of the class is” gives 6.</x:v>
      </x:c>
      <x:c r="L47" s="60" t="str">
        <x:v>C5ABD/5</x:v>
      </x:c>
      <x:c r="M47" s="60" t="str">
        <x:v>Mathematics</x:v>
      </x:c>
      <x:c r="N47" s="60" t="str">
        <x:v>Mathematical notation requires reconstruction</x:v>
      </x:c>
      <x:c r="O47" s="60" t="str">
        <x:v>Correct from a reliable source, independently verify the answer, then rescreen.</x:v>
      </x:c>
    </x:row>
    <x:row r="48">
      <x:c r="A48" s="62" t="n">
        <x:v>118</x:v>
      </x:c>
      <x:c r="B48" s="60" t="str">
        <x:v>Mathematics</x:v>
      </x:c>
      <x:c r="C48" s="60" t="str">
        <x:v>Hard</x:v>
      </x:c>
      <x:c r="D48" s="60" t="str">
        <x:v>Trigonometry</x:v>
      </x:c>
      <x:c r="E48" s="60" t="str">
        <x:v>From an external point P, a tangent PA is drawn to a circle. The number of tangents through P parallel to PA is:</x:v>
      </x:c>
      <x:c r="F48" s="60" t="str">
        <x:v>2</x:v>
      </x:c>
      <x:c r="G48" s="60" t="str">
        <x:v>more than 2</x:v>
      </x:c>
      <x:c r="H48" s="60" t="str">
        <x:v>1</x:v>
      </x:c>
      <x:c r="I48" s="60" t="str">
        <x:v>0</x:v>
      </x:c>
      <x:c r="J48" s="60" t="str">
        <x:v>0</x:v>
      </x:c>
      <x:c r="K48" s="60" t="str">
        <x:v>Favourable outcomes divided by all equally likely outcomes gives 0.</x:v>
      </x:c>
      <x:c r="L48" s="60" t="str">
        <x:v>CD1BA/3</x:v>
      </x:c>
      <x:c r="M48" s="60" t="str">
        <x:v>Mathematics</x:v>
      </x:c>
      <x:c r="N48" s="60" t="str">
        <x:v>Mathematical notation requires reconstruction</x:v>
      </x:c>
      <x:c r="O48" s="60" t="str">
        <x:v>Correct from a reliable source, independently verify the answer, then rescreen.</x:v>
      </x:c>
    </x:row>
    <x:row r="49">
      <x:c r="A49" s="62" t="n">
        <x:v>119</x:v>
      </x:c>
      <x:c r="B49" s="60" t="str">
        <x:v>Mathematics</x:v>
      </x:c>
      <x:c r="C49" s="60" t="str">
        <x:v>Hard</x:v>
      </x:c>
      <x:c r="D49" s="60" t="str">
        <x:v>Trigonometry</x:v>
      </x:c>
      <x:c r="E49" s="60" t="str">
        <x:v>In the given figure, tangents PA and PB drawn from P to circle are inclined to each other at an angle of 80°. The measure of ∠ PAB is</x:v>
      </x:c>
      <x:c r="F49" s="60" t="str">
        <x:v>80º</x:v>
      </x:c>
      <x:c r="G49" s="60" t="str">
        <x:v>60º</x:v>
      </x:c>
      <x:c r="H49" s="60" t="str">
        <x:v>50º</x:v>
      </x:c>
      <x:c r="I49" s="60" t="str">
        <x:v>40º</x:v>
      </x:c>
      <x:c r="J49" s="60" t="str">
        <x:v>50º</x:v>
      </x:c>
      <x:c r="K49" s="60" t="str">
        <x:v>Favourable outcomes divided by all equally likely outcomes gives 50º.</x:v>
      </x:c>
      <x:c r="L49" s="60" t="str">
        <x:v>CD1BA/3</x:v>
      </x:c>
      <x:c r="M49" s="60" t="str">
        <x:v>Mathematics</x:v>
      </x:c>
      <x:c r="N49" s="60" t="str">
        <x:v>Visual or diagram required but unavailable</x:v>
      </x:c>
      <x:c r="O49" s="60" t="str">
        <x:v>Exclude until a visual is created or replace with a self-contained question.</x:v>
      </x:c>
    </x:row>
    <x:row r="50">
      <x:c r="A50" s="62" t="n">
        <x:v>120</x:v>
      </x:c>
      <x:c r="B50" s="60" t="str">
        <x:v>Mathematics</x:v>
      </x:c>
      <x:c r="C50" s="60" t="str">
        <x:v>Easy</x:v>
      </x:c>
      <x:c r="D50" s="60" t="str">
        <x:v>Sequences</x:v>
      </x:c>
      <x:c r="E50" s="60" t="str">
        <x:v>The common difference of an A.P. whose n th term is given by a n = 5n – 1, is:</x:v>
      </x:c>
      <x:c r="F50" s="60" t="str">
        <x:v>1</x:v>
      </x:c>
      <x:c r="G50" s="60" t="str">
        <x:v>6</x:v>
      </x:c>
      <x:c r="H50" s="60" t="str">
        <x:v>5</x:v>
      </x:c>
      <x:c r="I50" s="60" t="str">
        <x:v>4</x:v>
      </x:c>
      <x:c r="J50" s="60" t="str">
        <x:v>5</x:v>
      </x:c>
      <x:c r="K50" s="60" t="str">
        <x:v>Applying the arithmetic-progression relation gives 5.</x:v>
      </x:c>
      <x:c r="L50" s="60" t="str">
        <x:v>CD1BA/3</x:v>
      </x:c>
      <x:c r="M50" s="60" t="str">
        <x:v>Mathematics</x:v>
      </x:c>
      <x:c r="N50" s="60" t="str">
        <x:v>Mathematical notation requires reconstruction</x:v>
      </x:c>
      <x:c r="O50" s="60" t="str">
        <x:v>Correct from a reliable source, independently verify the answer, then rescreen.</x:v>
      </x:c>
    </x:row>
    <x:row r="51">
      <x:c r="A51" s="62" t="n">
        <x:v>121</x:v>
      </x:c>
      <x:c r="B51" s="60" t="str">
        <x:v>Mathematics</x:v>
      </x:c>
      <x:c r="C51" s="60" t="str">
        <x:v>Hard</x:v>
      </x:c>
      <x:c r="D51" s="60" t="str">
        <x:v>Trigonometry</x:v>
      </x:c>
      <x:c r="E51" s="60" t="str">
        <x:v>The distance between the points A(–1, 5) and B(6, –2) is:</x:v>
      </x:c>
      <x:c r="F51" s="60" t="str">
        <x:v>2 7</x:v>
      </x:c>
      <x:c r="G51" s="60" t="str">
        <x:v>7 2</x:v>
      </x:c>
      <x:c r="H51" s="60" t="str">
        <x:v>49</x:v>
      </x:c>
      <x:c r="I51" s="60" t="str">
        <x:v>14</x:v>
      </x:c>
      <x:c r="J51" s="60" t="str">
        <x:v>49</x:v>
      </x:c>
      <x:c r="K51" s="60" t="str">
        <x:v>The coordinate formula for “The distance between the points A 1” gives 49.</x:v>
      </x:c>
      <x:c r="L51" s="60" t="str">
        <x:v>CD1BA/3</x:v>
      </x:c>
      <x:c r="M51" s="60" t="str">
        <x:v>Mathematics</x:v>
      </x:c>
      <x:c r="N51" s="60" t="str">
        <x:v>Mathematical notation requires reconstruction</x:v>
      </x:c>
      <x:c r="O51" s="60" t="str">
        <x:v>Correct from a reliable source, independently verify the answer, then rescreen.</x:v>
      </x:c>
    </x:row>
    <x:row r="52">
      <x:c r="A52" s="62" t="n">
        <x:v>122</x:v>
      </x:c>
      <x:c r="B52" s="60" t="str">
        <x:v>Mathematics</x:v>
      </x:c>
      <x:c r="C52" s="60" t="str">
        <x:v>Easy</x:v>
      </x:c>
      <x:c r="D52" s="60" t="str">
        <x:v>Probability</x:v>
      </x:c>
      <x:c r="E52" s="60" t="str">
        <x:v>A die is thrown once. The probability of getting a number l ess than 6, is:</x:v>
      </x:c>
      <x:c r="F52" s="60" t="str">
        <x:v>0</x:v>
      </x:c>
      <x:c r="G52" s="60" t="str">
        <x:v>6 5</x:v>
      </x:c>
      <x:c r="H52" s="60" t="str">
        <x:v>6</x:v>
      </x:c>
      <x:c r="I52" s="60" t="str">
        <x:v>1</x:v>
      </x:c>
      <x:c r="J52" s="60" t="str">
        <x:v>1</x:v>
      </x:c>
      <x:c r="K52" s="60" t="str">
        <x:v>Favourable outcomes divided by all equally likely outcomes gives 1.</x:v>
      </x:c>
      <x:c r="L52" s="60" t="str">
        <x:v>CD1BA/3</x:v>
      </x:c>
      <x:c r="M52" s="60" t="str">
        <x:v>Mathematics</x:v>
      </x:c>
      <x:c r="N52" s="60" t="str">
        <x:v>Mathematical notation requires reconstruction</x:v>
      </x:c>
      <x:c r="O52" s="60" t="str">
        <x:v>Correct from a reliable source, independently verify the answer, then rescreen.</x:v>
      </x:c>
    </x:row>
    <x:row r="53">
      <x:c r="A53" s="62" t="n">
        <x:v>123</x:v>
      </x:c>
      <x:c r="B53" s="60" t="str">
        <x:v>Mathematics</x:v>
      </x:c>
      <x:c r="C53" s="60" t="str">
        <x:v>Hard</x:v>
      </x:c>
      <x:c r="D53" s="60" t="str">
        <x:v>Trigonometry</x:v>
      </x:c>
      <x:c r="E53" s="60" t="str">
        <x:v>If sin A = 2 1 , then cot A is equal to</x:v>
      </x:c>
      <x:c r="F53" s="60" t="str">
        <x:v>3</x:v>
      </x:c>
      <x:c r="G53" s="60" t="str">
        <x:v>1</x:v>
      </x:c>
      <x:c r="H53" s="60" t="str">
        <x:v>3</x:v>
      </x:c>
      <x:c r="I53" s="60" t="str">
        <x:v>3 2</x:v>
      </x:c>
      <x:c r="J53" s="60" t="str">
        <x:v>3 2</x:v>
      </x:c>
      <x:c r="K53" s="60" t="str">
        <x:v>Using the standard trigonometric identity gives 3 2.</x:v>
      </x:c>
      <x:c r="L53" s="60" t="str">
        <x:v>CD1BA/3</x:v>
      </x:c>
      <x:c r="M53" s="60" t="str">
        <x:v>Mathematics</x:v>
      </x:c>
      <x:c r="N53" s="60" t="str">
        <x:v>Duplicate answer options; Mathematical notation requires reconstruction; Duplicate distractor and corrupted trigonometric notation.</x:v>
      </x:c>
      <x:c r="O53" s="60" t="str">
        <x:v>Correct from a reliable source, independently verify the answer, then rescreen.</x:v>
      </x:c>
    </x:row>
    <x:row r="54">
      <x:c r="A54" s="62" t="n">
        <x:v>125</x:v>
      </x:c>
      <x:c r="B54" s="60" t="str">
        <x:v>Mathematics</x:v>
      </x:c>
      <x:c r="C54" s="60" t="str">
        <x:v>Easy</x:v>
      </x:c>
      <x:c r="D54" s="60" t="str">
        <x:v>Sequences</x:v>
      </x:c>
      <x:c r="E54" s="60" t="str">
        <x:v>The 30 th term of the A.P. – 3, – 7, – 11, ..... is:</x:v>
      </x:c>
      <x:c r="F54" s="60" t="str">
        <x:v>113</x:v>
      </x:c>
      <x:c r="G54" s="60" t="str">
        <x:v>– 117</x:v>
      </x:c>
      <x:c r="H54" s="60" t="str">
        <x:v>– 119</x:v>
      </x:c>
      <x:c r="I54" s="60" t="str">
        <x:v>– 120</x:v>
      </x:c>
      <x:c r="J54" s="60" t="str">
        <x:v>113</x:v>
      </x:c>
      <x:c r="K54" s="60" t="str">
        <x:v>Applying the arithmetic-progression relation gives 113.</x:v>
      </x:c>
      <x:c r="L54" s="60" t="str">
        <x:v>CD1BA/3</x:v>
      </x:c>
      <x:c r="M54" s="60" t="str">
        <x:v>Mathematics</x:v>
      </x:c>
      <x:c r="N54" s="60" t="str">
        <x:v>Mathematical notation requires reconstruction</x:v>
      </x:c>
      <x:c r="O54" s="60" t="str">
        <x:v>Correct from a reliable source, independently verify the answer, then rescreen.</x:v>
      </x:c>
    </x:row>
    <x:row r="55">
      <x:c r="A55" s="62" t="n">
        <x:v>126</x:v>
      </x:c>
      <x:c r="B55" s="60" t="str">
        <x:v>Mathematics</x:v>
      </x:c>
      <x:c r="C55" s="60" t="str">
        <x:v>Easy</x:v>
      </x:c>
      <x:c r="D55" s="60" t="str">
        <x:v>Sequences</x:v>
      </x:c>
      <x:c r="E55" s="60" t="str">
        <x:v>If in an A.P., a = 2 and S 10 = 335, then its 10 th term is:</x:v>
      </x:c>
      <x:c r="F55" s="60" t="str">
        <x:v>55</x:v>
      </x:c>
      <x:c r="G55" s="60" t="str">
        <x:v>65</x:v>
      </x:c>
      <x:c r="H55" s="60" t="str">
        <x:v>68</x:v>
      </x:c>
      <x:c r="I55" s="60" t="str">
        <x:v>58</x:v>
      </x:c>
      <x:c r="J55" s="60" t="str">
        <x:v>65</x:v>
      </x:c>
      <x:c r="K55" s="60" t="str">
        <x:v>Applying the arithmetic-progression relation gives 65.</x:v>
      </x:c>
      <x:c r="L55" s="60" t="str">
        <x:v>CD1BA/3</x:v>
      </x:c>
      <x:c r="M55" s="60" t="str">
        <x:v>Mathematics</x:v>
      </x:c>
      <x:c r="N55" s="60" t="str">
        <x:v>Mathematical notation requires reconstruction</x:v>
      </x:c>
      <x:c r="O55" s="60" t="str">
        <x:v>Correct from a reliable source, independently verify the answer, then rescreen.</x:v>
      </x:c>
    </x:row>
    <x:row r="56">
      <x:c r="A56" s="62" t="n">
        <x:v>128</x:v>
      </x:c>
      <x:c r="B56" s="60" t="str">
        <x:v>Mathematics</x:v>
      </x:c>
      <x:c r="C56" s="60" t="str">
        <x:v>Medium</x:v>
      </x:c>
      <x:c r="D56" s="60" t="str">
        <x:v>Statistics</x:v>
      </x:c>
      <x:c r="E56" s="60" t="str">
        <x:v>T he annual rainfall record of a city for 66 days is given in the following table : 1 Rainfall (in cm) : 0 – 10 10 – 20 20 – 30 30 – 40 40 – 50 50 – 60 Number of days : 22 10 8 15 5 6 The difference of upper limits of modal and median classes is</x:v>
      </x:c>
      <x:c r="F56" s="60" t="str">
        <x:v>10</x:v>
      </x:c>
      <x:c r="G56" s="60" t="str">
        <x:v>15</x:v>
      </x:c>
      <x:c r="H56" s="60" t="str">
        <x:v>20</x:v>
      </x:c>
      <x:c r="I56" s="60" t="str">
        <x:v>30</x:v>
      </x:c>
      <x:c r="J56" s="60" t="str">
        <x:v>20</x:v>
      </x:c>
      <x:c r="K56" s="60" t="str">
        <x:v>Substituting the given data in the statistics formula gives 20.</x:v>
      </x:c>
      <x:c r="L56" s="60" t="str">
        <x:v>DA2AB/2</x:v>
      </x:c>
      <x:c r="M56" s="60" t="str">
        <x:v>Mathematics</x:v>
      </x:c>
      <x:c r="N56" s="60" t="str">
        <x:v>Mathematical notation requires reconstruction</x:v>
      </x:c>
      <x:c r="O56" s="60" t="str">
        <x:v>Correct from a reliable source, independently verify the answer, then rescreen.</x:v>
      </x:c>
    </x:row>
    <x:row r="57">
      <x:c r="A57" s="62" t="n">
        <x:v>130</x:v>
      </x:c>
      <x:c r="B57" s="60" t="str">
        <x:v>Mathematics</x:v>
      </x:c>
      <x:c r="C57" s="60" t="str">
        <x:v>Easy</x:v>
      </x:c>
      <x:c r="D57" s="60" t="str">
        <x:v>Number Systems</x:v>
      </x:c>
      <x:c r="E57" s="60" t="str">
        <x:v>The HCF of smallest 2 – digit number and the smallest composite n umb er is:</x:v>
      </x:c>
      <x:c r="F57" s="60" t="str">
        <x:v>2</x:v>
      </x:c>
      <x:c r="G57" s="60" t="str">
        <x:v>20</x:v>
      </x:c>
      <x:c r="H57" s="60" t="str">
        <x:v>40</x:v>
      </x:c>
      <x:c r="I57" s="60" t="str">
        <x:v>4</x:v>
      </x:c>
      <x:c r="J57" s="60" t="str">
        <x:v>20</x:v>
      </x:c>
      <x:c r="K57" s="60" t="str">
        <x:v>Prime factorisation of the stated numbers gives 20.</x:v>
      </x:c>
      <x:c r="L57" s="60" t="str">
        <x:v>DA2AB/2</x:v>
      </x:c>
      <x:c r="M57" s="60" t="str">
        <x:v>Mathematics</x:v>
      </x:c>
      <x:c r="N57" s="60" t="str">
        <x:v>Mathematical notation requires reconstruction</x:v>
      </x:c>
      <x:c r="O57" s="60" t="str">
        <x:v>Correct from a reliable source, independently verify the answer, then rescreen.</x:v>
      </x:c>
    </x:row>
    <x:row r="58">
      <x:c r="A58" s="62" t="n">
        <x:v>135</x:v>
      </x:c>
      <x:c r="B58" s="60" t="str">
        <x:v>Mathematics</x:v>
      </x:c>
      <x:c r="C58" s="60" t="str">
        <x:v>Hard</x:v>
      </x:c>
      <x:c r="D58" s="60" t="str">
        <x:v>Trigonometry</x:v>
      </x:c>
      <x:c r="E58" s="60" t="str">
        <x:v>The distance of the point (3, 4) from the origin is</x:v>
      </x:c>
      <x:c r="F58" s="60" t="str">
        <x:v>25</x:v>
      </x:c>
      <x:c r="G58" s="60" t="str">
        <x:v>5</x:v>
      </x:c>
      <x:c r="H58" s="60" t="str">
        <x:v>7</x:v>
      </x:c>
      <x:c r="I58" s="60" t="str">
        <x:v>1</x:v>
      </x:c>
      <x:c r="J58" s="60" t="str">
        <x:v>25</x:v>
      </x:c>
      <x:c r="K58" s="60" t="str">
        <x:v>The coordinate formula for “The distance of the point 3 4” gives 25.</x:v>
      </x:c>
      <x:c r="L58" s="60" t="str">
        <x:v>DA2AB/2</x:v>
      </x:c>
      <x:c r="M58" s="60" t="str">
        <x:v>Mathematics</x:v>
      </x:c>
      <x:c r="N58" s="60" t="str">
        <x:v>Mathematical notation requires reconstruction</x:v>
      </x:c>
      <x:c r="O58" s="60" t="str">
        <x:v>Correct from a reliable source, independently verify the answer, then rescreen.</x:v>
      </x:c>
    </x:row>
    <x:row r="59">
      <x:c r="A59" s="62" t="n">
        <x:v>136</x:v>
      </x:c>
      <x:c r="B59" s="60" t="str">
        <x:v>Mathematics</x:v>
      </x:c>
      <x:c r="C59" s="60" t="str">
        <x:v>Hard</x:v>
      </x:c>
      <x:c r="D59" s="60" t="str">
        <x:v>Trigonometry</x:v>
      </x:c>
      <x:c r="E59" s="60" t="str">
        <x:v>A sin 1 A cot A cosec 2 2 2 - - is equal to</x:v>
      </x:c>
      <x:c r="F59" s="60" t="str">
        <x:v>A sin 2</x:v>
      </x:c>
      <x:c r="G59" s="60" t="str">
        <x:v>cos 2 A</x:v>
      </x:c>
      <x:c r="H59" s="60" t="str">
        <x:v>sec 2 A</x:v>
      </x:c>
      <x:c r="I59" s="60" t="str">
        <x:v>tan 2 A</x:v>
      </x:c>
      <x:c r="J59" s="60" t="str">
        <x:v>tan 2 A</x:v>
      </x:c>
      <x:c r="K59" s="60" t="str">
        <x:v>Using the standard trigonometric identity gives tan 2 A.</x:v>
      </x:c>
      <x:c r="L59" s="60" t="str">
        <x:v>DA2AB/2</x:v>
      </x:c>
      <x:c r="M59" s="60" t="str">
        <x:v>Mathematics</x:v>
      </x:c>
      <x:c r="N59" s="60" t="str">
        <x:v>Trigonometric expression is unreadable.</x:v>
      </x:c>
      <x:c r="O59" s="60" t="str">
        <x:v>Correct from a reliable source, independently verify the answer, then rescreen.</x:v>
      </x:c>
    </x:row>
    <x:row r="60">
      <x:c r="A60" s="62" t="n">
        <x:v>137</x:v>
      </x:c>
      <x:c r="B60" s="60" t="str">
        <x:v>Mathematics</x:v>
      </x:c>
      <x:c r="C60" s="60" t="str">
        <x:v>Hard</x:v>
      </x:c>
      <x:c r="D60" s="60" t="str">
        <x:v>Trigonometry</x:v>
      </x:c>
      <x:c r="E60" s="60" t="str">
        <x:v>If 5 cos A – 4 = 0, then the value of tan A is</x:v>
      </x:c>
      <x:c r="F60" s="60" t="str">
        <x:v>4 3</x:v>
      </x:c>
      <x:c r="G60" s="60" t="str">
        <x:v>3 4</x:v>
      </x:c>
      <x:c r="H60" s="60" t="str">
        <x:v>5 3</x:v>
      </x:c>
      <x:c r="I60" s="60" t="str">
        <x:v>5 4</x:v>
      </x:c>
      <x:c r="J60" s="60" t="str">
        <x:v>4 3</x:v>
      </x:c>
      <x:c r="K60" s="60" t="str">
        <x:v>Using the standard trigonometric identity gives 4 3.</x:v>
      </x:c>
      <x:c r="L60" s="60" t="str">
        <x:v>DA2AB/2</x:v>
      </x:c>
      <x:c r="M60" s="60" t="str">
        <x:v>Mathematics</x:v>
      </x:c>
      <x:c r="N60" s="60" t="str">
        <x:v>Mathematical notation requires reconstruction</x:v>
      </x:c>
      <x:c r="O60" s="60" t="str">
        <x:v>Correct from a reliable source, independently verify the answer, then rescreen.</x:v>
      </x:c>
    </x:row>
    <x:row r="61">
      <x:c r="A61" s="62" t="n">
        <x:v>140</x:v>
      </x:c>
      <x:c r="B61" s="60" t="str">
        <x:v>Mathematics</x:v>
      </x:c>
      <x:c r="C61" s="60" t="str">
        <x:v>Hard</x:v>
      </x:c>
      <x:c r="D61" s="60" t="str">
        <x:v>Trigonometry</x:v>
      </x:c>
      <x:c r="E61" s="60" t="str">
        <x:v>cot θ + tan θ equals</x:v>
      </x:c>
      <x:c r="F61" s="60" t="str">
        <x:v>cosec θ × sec θ</x:v>
      </x:c>
      <x:c r="G61" s="60" t="str">
        <x:v>sin θ × sec θ</x:v>
      </x:c>
      <x:c r="H61" s="60" t="str">
        <x:v>cos θ × tan θ</x:v>
      </x:c>
      <x:c r="I61" s="60" t="str">
        <x:v>sin θ × cos θ</x:v>
      </x:c>
      <x:c r="J61" s="60" t="str">
        <x:v>cosec θ × sec θ</x:v>
      </x:c>
      <x:c r="K61" s="60" t="str">
        <x:v>Using the standard trigonometric identity gives cosec θ × sec θ.</x:v>
      </x:c>
      <x:c r="L61" s="60" t="str">
        <x:v>EF3GH</x:v>
      </x:c>
      <x:c r="M61" s="60" t="str">
        <x:v>Mathematics</x:v>
      </x:c>
      <x:c r="N61" s="60" t="str">
        <x:v>Question stem appears incomplete</x:v>
      </x:c>
      <x:c r="O61" s="60" t="str">
        <x:v>Correct from a reliable source, independently verify the answer, then rescreen.</x:v>
      </x:c>
    </x:row>
    <x:row r="62">
      <x:c r="A62" s="62" t="n">
        <x:v>142</x:v>
      </x:c>
      <x:c r="B62" s="60" t="str">
        <x:v>Mathematics</x:v>
      </x:c>
      <x:c r="C62" s="60" t="str">
        <x:v>Hard</x:v>
      </x:c>
      <x:c r="D62" s="60" t="str">
        <x:v>Trigonometry</x:v>
      </x:c>
      <x:c r="E62" s="60" t="str">
        <x:v>If tangents PA and PB drawn from an external point P to the circle with centre O are inclined to each other at an angle of 80 as shown in the given figure, then the measure of POA is</x:v>
      </x:c>
      <x:c r="F62" s="60" t="str">
        <x:v>40</x:v>
      </x:c>
      <x:c r="G62" s="60" t="str">
        <x:v>50</x:v>
      </x:c>
      <x:c r="H62" s="60" t="str">
        <x:v>60</x:v>
      </x:c>
      <x:c r="I62" s="60" t="str">
        <x:v>80</x:v>
      </x:c>
      <x:c r="J62" s="60" t="str">
        <x:v>50</x:v>
      </x:c>
      <x:c r="K62" s="60" t="str">
        <x:v>Favourable outcomes divided by all equally likely outcomes gives 50.</x:v>
      </x:c>
      <x:c r="L62" s="60" t="str">
        <x:v>EF3GH</x:v>
      </x:c>
      <x:c r="M62" s="60" t="str">
        <x:v>Mathematics</x:v>
      </x:c>
      <x:c r="N62" s="60" t="str">
        <x:v>Visual or diagram required but unavailable; Mathematical notation requires reconstruction</x:v>
      </x:c>
      <x:c r="O62" s="60" t="str">
        <x:v>Exclude until a visual is created or replace with a self-contained question.</x:v>
      </x:c>
    </x:row>
    <x:row r="63">
      <x:c r="A63" s="62" t="n">
        <x:v>144</x:v>
      </x:c>
      <x:c r="B63" s="60" t="str">
        <x:v>Mathematics</x:v>
      </x:c>
      <x:c r="C63" s="60" t="str">
        <x:v>Medium</x:v>
      </x:c>
      <x:c r="D63" s="60" t="str">
        <x:v>Mensuration</x:v>
      </x:c>
      <x:c r="E63" s="60" t="str">
        <x:v>If the volumes of two cubes are in the ratio 8 : 125, then the ratio of their surface areas is</x:v>
      </x:c>
      <x:c r="F63" s="60" t="str">
        <x:v>0.420138889</x:v>
      </x:c>
      <x:c r="G63" s="60" t="str">
        <x:v>04:25</x:v>
      </x:c>
      <x:c r="H63" s="60" t="str">
        <x:v>02:05</x:v>
      </x:c>
      <x:c r="I63" s="60" t="str">
        <x:v>16:25</x:v>
      </x:c>
      <x:c r="J63" s="60" t="str">
        <x:v>04:25</x:v>
      </x:c>
      <x:c r="K63" s="60" t="str">
        <x:v>The stated mensuration formula evaluates to 4 : 25.</x:v>
      </x:c>
      <x:c r="L63" s="60" t="str">
        <x:v>EF3GH</x:v>
      </x:c>
      <x:c r="M63" s="60" t="str">
        <x:v>Mathematics</x:v>
      </x:c>
      <x:c r="N63" s="60" t="str">
        <x:v>Spreadsheet auto-formatting corrupted a fraction or ratio; Ratio values were converted into decimal/time formats.; Explanation and stored answer are inconsistent</x:v>
      </x:c>
      <x:c r="O63" s="60" t="str">
        <x:v>Correct from a reliable source, independently verify the answer, then rescreen.</x:v>
      </x:c>
    </x:row>
    <x:row r="64">
      <x:c r="A64" s="62" t="n">
        <x:v>145</x:v>
      </x:c>
      <x:c r="B64" s="60" t="str">
        <x:v>Mathematics</x:v>
      </x:c>
      <x:c r="C64" s="60" t="str">
        <x:v>Easy</x:v>
      </x:c>
      <x:c r="D64" s="60" t="str">
        <x:v>General Mathematics</x:v>
      </x:c>
      <x:c r="E64" s="60" t="str">
        <x:v>The measurements of LMN and ABC are shown in the figure given below. The length of side AC is</x:v>
      </x:c>
      <x:c r="F64" s="60" t="str">
        <x:v>16 cm</x:v>
      </x:c>
      <x:c r="G64" s="60" t="str">
        <x:v>7 cm</x:v>
      </x:c>
      <x:c r="H64" s="60" t="str">
        <x:v>8 cm</x:v>
      </x:c>
      <x:c r="I64" s="60" t="str">
        <x:v>4 cm</x:v>
      </x:c>
      <x:c r="J64" s="60" t="str">
        <x:v>8 cm</x:v>
      </x:c>
      <x:c r="K64" s="60" t="str">
        <x:v>Substituting the given values for “The measurements of LMN and ABC are” gives 8 cm.</x:v>
      </x:c>
      <x:c r="L64" s="60" t="str">
        <x:v>EF3GH</x:v>
      </x:c>
      <x:c r="M64" s="60" t="str">
        <x:v>Mathematics</x:v>
      </x:c>
      <x:c r="N64" s="60" t="str">
        <x:v>Visual or diagram required but unavailable</x:v>
      </x:c>
      <x:c r="O64" s="60" t="str">
        <x:v>Exclude until a visual is created or replace with a self-contained question.</x:v>
      </x:c>
    </x:row>
    <x:row r="65">
      <x:c r="A65" s="62" t="n">
        <x:v>148</x:v>
      </x:c>
      <x:c r="B65" s="60" t="str">
        <x:v>Mathematics</x:v>
      </x:c>
      <x:c r="C65" s="60" t="str">
        <x:v>Easy</x:v>
      </x:c>
      <x:c r="D65" s="60" t="str">
        <x:v>Statistics</x:v>
      </x:c>
      <x:c r="E65" s="60" t="str">
        <x:v>If the mean of 2, 9, x+6, 2x+3, 5, 10, 5 is 7, then the value of x is</x:v>
      </x:c>
      <x:c r="F65" s="60" t="str">
        <x:v>9</x:v>
      </x:c>
      <x:c r="G65" s="60" t="str">
        <x:v>6</x:v>
      </x:c>
      <x:c r="H65" s="60" t="str">
        <x:v>5</x:v>
      </x:c>
      <x:c r="I65" s="60" t="str">
        <x:v>3</x:v>
      </x:c>
      <x:c r="J65" s="60" t="str">
        <x:v>3</x:v>
      </x:c>
      <x:c r="K65" s="60" t="str">
        <x:v>Substituting the given data in the statistics formula gives 3.</x:v>
      </x:c>
      <x:c r="L65" s="60" t="str">
        <x:v>EF3GH</x:v>
      </x:c>
      <x:c r="M65" s="60" t="str">
        <x:v>Mathematics</x:v>
      </x:c>
      <x:c r="N65" s="60" t="str">
        <x:v>Mathematical notation requires reconstruction</x:v>
      </x:c>
      <x:c r="O65" s="60" t="str">
        <x:v>Correct from a reliable source, independently verify the answer, then rescreen.</x:v>
      </x:c>
    </x:row>
    <x:row r="66">
      <x:c r="A66" s="62" t="n">
        <x:v>149</x:v>
      </x:c>
      <x:c r="B66" s="60" t="str">
        <x:v>Mathematics</x:v>
      </x:c>
      <x:c r="C66" s="60" t="str">
        <x:v>Medium</x:v>
      </x:c>
      <x:c r="D66" s="60" t="str">
        <x:v>Coordinate Geometry</x:v>
      </x:c>
      <x:c r="E66" s="60" t="str">
        <x:v>If the mid-point of the line segment joining the points (a, 4) and (2, 2b) is (2, 6), then the value of (a + b) is given by</x:v>
      </x:c>
      <x:c r="F66" s="60" t="str">
        <x:v>6</x:v>
      </x:c>
      <x:c r="G66" s="60" t="str">
        <x:v>7</x:v>
      </x:c>
      <x:c r="H66" s="60" t="str">
        <x:v>8</x:v>
      </x:c>
      <x:c r="I66" s="60" t="str">
        <x:v>16</x:v>
      </x:c>
      <x:c r="J66" s="60" t="str">
        <x:v>6</x:v>
      </x:c>
      <x:c r="K66" s="60" t="str">
        <x:v>The coordinate formula for “If the mid point of the line” gives 6.</x:v>
      </x:c>
      <x:c r="L66" s="60" t="str">
        <x:v>EF3GH</x:v>
      </x:c>
      <x:c r="M66" s="60" t="str">
        <x:v>Mathematics</x:v>
      </x:c>
      <x:c r="N66" s="60" t="str">
        <x:v>Mathematical notation requires reconstruction</x:v>
      </x:c>
      <x:c r="O66" s="60" t="str">
        <x:v>Correct from a reliable source, independently verify the answer, then rescreen.</x:v>
      </x:c>
    </x:row>
    <x:row r="67">
      <x:c r="A67" s="62" t="n">
        <x:v>150</x:v>
      </x:c>
      <x:c r="B67" s="60" t="str">
        <x:v>Mathematics</x:v>
      </x:c>
      <x:c r="C67" s="60" t="str">
        <x:v>Easy</x:v>
      </x:c>
      <x:c r="D67" s="60" t="str">
        <x:v>General Mathematics</x:v>
      </x:c>
      <x:c r="E67" s="60" t="str">
        <x:v>If 3x = 0, then the values of x are</x:v>
      </x:c>
      <x:c r="F67" s="60" t="str">
        <x:v>6</x:v>
      </x:c>
      <x:c r="G67" s="60" t="str">
        <x:v>4</x:v>
      </x:c>
      <x:c r="H67" s="60" t="str">
        <x:v>12</x:v>
      </x:c>
      <x:c r="I67" s="60" t="str">
        <x:v>3</x:v>
      </x:c>
      <x:c r="J67" s="60" t="str">
        <x:v>6</x:v>
      </x:c>
      <x:c r="K67" s="60" t="str">
        <x:v>Substituting the given values for “If 3x 0 then the values of” gives 6.</x:v>
      </x:c>
      <x:c r="L67" s="60" t="str">
        <x:v>EF3GH</x:v>
      </x:c>
      <x:c r="M67" s="60" t="str">
        <x:v>Mathematics</x:v>
      </x:c>
      <x:c r="N67" s="60" t="str">
        <x:v>Mathematical notation requires reconstruction; Visible equation and stored answer are inconsistent; source is likely corrupted.</x:v>
      </x:c>
      <x:c r="O67" s="60" t="str">
        <x:v>Correct from a reliable source, independently verify the answer, then rescreen.</x:v>
      </x:c>
    </x:row>
    <x:row r="68">
      <x:c r="A68" s="62" t="n">
        <x:v>151</x:v>
      </x:c>
      <x:c r="B68" s="60" t="str">
        <x:v>Mathematics</x:v>
      </x:c>
      <x:c r="C68" s="60" t="str">
        <x:v>Easy</x:v>
      </x:c>
      <x:c r="D68" s="60" t="str">
        <x:v>Statistics</x:v>
      </x:c>
      <x:c r="E68" s="60" t="str">
        <x:v>The mean of seven observations is 17. If the mean of the first four observations is 15 and that of the last four observations is 18, then the fourth observation is</x:v>
      </x:c>
      <x:c r="F68" s="60" t="str">
        <x:v>14</x:v>
      </x:c>
      <x:c r="G68" s="60" t="str">
        <x:v>13</x:v>
      </x:c>
      <x:c r="H68" s="60" t="str">
        <x:v>12</x:v>
      </x:c>
      <x:c r="I68" s="60" t="str">
        <x:v>10</x:v>
      </x:c>
      <x:c r="J68" s="60" t="str">
        <x:v>13</x:v>
      </x:c>
      <x:c r="K68" s="60" t="str">
        <x:v>Substituting the given data in the statistics formula gives 13.</x:v>
      </x:c>
      <x:c r="L68" s="60" t="str">
        <x:v>EF3GH</x:v>
      </x:c>
      <x:c r="M68" s="60" t="str">
        <x:v>Mathematics</x:v>
      </x:c>
      <x:c r="N68" s="60" t="str">
        <x:v>Mathematical notation requires reconstruction</x:v>
      </x:c>
      <x:c r="O68" s="60" t="str">
        <x:v>Correct from a reliable source, independently verify the answer, then rescreen.</x:v>
      </x:c>
    </x:row>
    <x:row r="69">
      <x:c r="A69" s="62" t="n">
        <x:v>153</x:v>
      </x:c>
      <x:c r="B69" s="60" t="str">
        <x:v>Mathematics</x:v>
      </x:c>
      <x:c r="C69" s="60" t="str">
        <x:v>Easy</x:v>
      </x:c>
      <x:c r="D69" s="60" t="str">
        <x:v>General Mathematics</x:v>
      </x:c>
      <x:c r="E69" s="60" t="str">
        <x:v>3n, where n is a natural number, cannot end with the digit</x:v>
      </x:c>
      <x:c r="F69" s="60" t="str">
        <x:v>3</x:v>
      </x:c>
      <x:c r="G69" s="60" t="str">
        <x:v>5</x:v>
      </x:c>
      <x:c r="H69" s="60" t="str">
        <x:v>7</x:v>
      </x:c>
      <x:c r="I69" s="60" t="str">
        <x:v>9 3.A prime number has</x:v>
      </x:c>
      <x:c r="J69" s="60" t="str">
        <x:v>5</x:v>
      </x:c>
      <x:c r="K69" s="60" t="str">
        <x:v>Substituting the given values for “3n where n is a natural number” gives 5.</x:v>
      </x:c>
      <x:c r="L69" s="60" t="str">
        <x:v>EF3GH</x:v>
      </x:c>
      <x:c r="M69" s="60" t="str">
        <x:v>Mathematics</x:v>
      </x:c>
      <x:c r="N69" s="60" t="str">
        <x:v>Neighbouring question or instruction text is spliced into the record; Neighbouring question text is spliced into an option.</x:v>
      </x:c>
      <x:c r="O69" s="60" t="str">
        <x:v>Correct from a reliable source, independently verify the answer, then rescreen.</x:v>
      </x:c>
    </x:row>
    <x:row r="70">
      <x:c r="A70" s="62" t="n">
        <x:v>154</x:v>
      </x:c>
      <x:c r="B70" s="60" t="str">
        <x:v>Mathematics</x:v>
      </x:c>
      <x:c r="C70" s="60" t="str">
        <x:v>Easy</x:v>
      </x:c>
      <x:c r="D70" s="60" t="str">
        <x:v>Statistics</x:v>
      </x:c>
      <x:c r="E70" s="60" t="str">
        <x:v>For a distribution, if mean = 15 and mode = 12, then its median is</x:v>
      </x:c>
      <x:c r="F70" s="60" t="str">
        <x:v>12</x:v>
      </x:c>
      <x:c r="G70" s="60" t="str">
        <x:v>13</x:v>
      </x:c>
      <x:c r="H70" s="60" t="str">
        <x:v>14</x:v>
      </x:c>
      <x:c r="I70" s="60" t="str">
        <x:v>15</x:v>
      </x:c>
      <x:c r="J70" s="60" t="str">
        <x:v>14</x:v>
      </x:c>
      <x:c r="K70" s="60" t="str">
        <x:v>Substituting the given data in the statistics formula gives 14.</x:v>
      </x:c>
      <x:c r="L70" s="60" t="str">
        <x:v>EF3GH</x:v>
      </x:c>
      <x:c r="M70" s="60" t="str">
        <x:v>Mathematics</x:v>
      </x:c>
      <x:c r="N70" s="60" t="str">
        <x:v>Mathematical notation requires reconstruction</x:v>
      </x:c>
      <x:c r="O70" s="60" t="str">
        <x:v>Correct from a reliable source, independently verify the answer, then rescreen.</x:v>
      </x:c>
    </x:row>
    <x:row r="71">
      <x:c r="A71" s="62" t="n">
        <x:v>156</x:v>
      </x:c>
      <x:c r="B71" s="60" t="str">
        <x:v>Mathematics</x:v>
      </x:c>
      <x:c r="C71" s="60" t="str">
        <x:v>Easy</x:v>
      </x:c>
      <x:c r="D71" s="60" t="str">
        <x:v>Probability</x:v>
      </x:c>
      <x:c r="E71" s="60" t="str">
        <x:v>sum outcomes in favour of event E is</x:v>
      </x:c>
      <x:c r="F71" s="60" t="str">
        <x:v>4</x:v>
      </x:c>
      <x:c r="G71" s="60" t="str">
        <x:v>6</x:v>
      </x:c>
      <x:c r="H71" s="60" t="str">
        <x:v>10</x:v>
      </x:c>
      <x:c r="I71" s="60" t="str">
        <x:v>26</x:v>
      </x:c>
      <x:c r="J71" s="60" t="str">
        <x:v>10</x:v>
      </x:c>
      <x:c r="K71" s="60" t="str">
        <x:v>Substituting the given values for “sum outcomes in favour of event E” gives 10.</x:v>
      </x:c>
      <x:c r="L71" s="60" t="str">
        <x:v>EF3GH</x:v>
      </x:c>
      <x:c r="M71" s="60" t="str">
        <x:v>Mathematics</x:v>
      </x:c>
      <x:c r="N71" s="60" t="str">
        <x:v>Mathematical notation requires reconstruction; Incomplete probability question stem.</x:v>
      </x:c>
      <x:c r="O71" s="60" t="str">
        <x:v>Correct from a reliable source, independently verify the answer, then rescreen.</x:v>
      </x:c>
    </x:row>
    <x:row r="72">
      <x:c r="A72" s="62" t="n">
        <x:v>158</x:v>
      </x:c>
      <x:c r="B72" s="60" t="str">
        <x:v>Mathematics</x:v>
      </x:c>
      <x:c r="C72" s="60" t="str">
        <x:v>Easy</x:v>
      </x:c>
      <x:c r="D72" s="60" t="str">
        <x:v>Number Systems</x:v>
      </x:c>
      <x:c r="E72" s="60" t="str">
        <x:v>A prime number has</x:v>
      </x:c>
      <x:c r="F72" s="60" t="str">
        <x:v>exactly two prime factors</x:v>
      </x:c>
      <x:c r="G72" s="60" t="str">
        <x:v>exactly one prime factor</x:v>
      </x:c>
      <x:c r="H72" s="60" t="str">
        <x:v>at least one prime factor</x:v>
      </x:c>
      <x:c r="I72" s="60" t="str">
        <x:v>at least two prime factors</x:v>
      </x:c>
      <x:c r="J72" s="60" t="str">
        <x:v>exactly one prime factor</x:v>
      </x:c>
      <x:c r="K72" s="60" t="str">
        <x:v>Substituting the given values for “A prime number has” gives exactly one prime factor.</x:v>
      </x:c>
      <x:c r="L72" s="60" t="str">
        <x:v>EF3GH</x:v>
      </x:c>
      <x:c r="M72" s="60" t="str">
        <x:v>Mathematics</x:v>
      </x:c>
      <x:c r="N72" s="60" t="str">
        <x:v>Question stem appears incomplete</x:v>
      </x:c>
      <x:c r="O72" s="60" t="str">
        <x:v>Correct from a reliable source, independently verify the answer, then rescreen.</x:v>
      </x:c>
    </x:row>
    <x:row r="73">
      <x:c r="A73" s="62" t="n">
        <x:v>159</x:v>
      </x:c>
      <x:c r="B73" s="60" t="str">
        <x:v>Mathematics</x:v>
      </x:c>
      <x:c r="C73" s="60" t="str">
        <x:v>Hard</x:v>
      </x:c>
      <x:c r="D73" s="60" t="str">
        <x:v>Circle Theorems</x:v>
      </x:c>
      <x:c r="E73" s="60" t="str">
        <x:v>In the given figure, chord AB of the larger circle touches the smaller circle at C. If both the circles have the same centre O, then the length of BD is</x:v>
      </x:c>
      <x:c r="F73" s="60" t="str">
        <x:v>1 cm</x:v>
      </x:c>
      <x:c r="G73" s="60" t="str">
        <x:v>2 cm</x:v>
      </x:c>
      <x:c r="H73" s="60" t="str">
        <x:v>3 cm</x:v>
      </x:c>
      <x:c r="I73" s="60" t="str">
        <x:v>4 cm 6.CA?</x:v>
      </x:c>
      <x:c r="J73" s="60" t="str">
        <x:v>2 cm</x:v>
      </x:c>
      <x:c r="K73" s="60" t="str">
        <x:v>The relevant circle measure for “In the given figure chord AB of” is 2 cm.</x:v>
      </x:c>
      <x:c r="L73" s="60" t="str">
        <x:v>EF3GH</x:v>
      </x:c>
      <x:c r="M73" s="60" t="str">
        <x:v>Mathematics</x:v>
      </x:c>
      <x:c r="N73" s="60" t="str">
        <x:v>Visual or diagram required but unavailable; Missing figure and spliced option text.</x:v>
      </x:c>
      <x:c r="O73" s="60" t="str">
        <x:v>Exclude until a visual is created or replace with a self-contained question.</x:v>
      </x:c>
    </x:row>
    <x:row r="74">
      <x:c r="A74" s="62" t="n">
        <x:v>160</x:v>
      </x:c>
      <x:c r="B74" s="60" t="str">
        <x:v>Mathematics</x:v>
      </x:c>
      <x:c r="C74" s="60" t="str">
        <x:v>Easy</x:v>
      </x:c>
      <x:c r="D74" s="60" t="str">
        <x:v>Probability</x:v>
      </x:c>
      <x:c r="E74" s="60" t="str">
        <x:v>outcomes in favour of event E is</x:v>
      </x:c>
      <x:c r="F74" s="60" t="str">
        <x:v>4</x:v>
      </x:c>
      <x:c r="G74" s="60" t="str">
        <x:v>6</x:v>
      </x:c>
      <x:c r="H74" s="60" t="str">
        <x:v>10</x:v>
      </x:c>
      <x:c r="I74" s="60" t="str">
        <x:v>26</x:v>
      </x:c>
      <x:c r="J74" s="60" t="str">
        <x:v>10</x:v>
      </x:c>
      <x:c r="K74" s="60" t="str">
        <x:v>Substituting the given values for “outcomes in favour of event E is” gives 10.</x:v>
      </x:c>
      <x:c r="L74" s="60" t="str">
        <x:v>EF3GH</x:v>
      </x:c>
      <x:c r="M74" s="60" t="str">
        <x:v>Mathematics</x:v>
      </x:c>
      <x:c r="N74" s="60" t="str">
        <x:v>Mathematical notation requires reconstruction; Incomplete probability question stem.</x:v>
      </x:c>
      <x:c r="O74" s="60" t="str">
        <x:v>Correct from a reliable source, independently verify the answer, then rescreen.</x:v>
      </x:c>
    </x:row>
    <x:row r="75">
      <x:c r="A75" s="62" t="n">
        <x:v>161</x:v>
      </x:c>
      <x:c r="B75" s="60" t="str">
        <x:v>Mathematics</x:v>
      </x:c>
      <x:c r="C75" s="60" t="str">
        <x:v>Hard</x:v>
      </x:c>
      <x:c r="D75" s="60" t="str">
        <x:v>Trigonometry</x:v>
      </x:c>
      <x:c r="E75" s="60" t="str">
        <x:v>How many tangents can be drawn from the point P on the outer circle to the inner circle in the given figure?</x:v>
      </x:c>
      <x:c r="F75" s="60" t="str">
        <x:v>0</x:v>
      </x:c>
      <x:c r="G75" s="60" t="str">
        <x:v>1</x:v>
      </x:c>
      <x:c r="H75" s="60" t="str">
        <x:v>2</x:v>
      </x:c>
      <x:c r="I75" s="60" t="str">
        <x:v>Infinite</x:v>
      </x:c>
      <x:c r="J75" s="60" t="str">
        <x:v>2</x:v>
      </x:c>
      <x:c r="K75" s="60" t="str">
        <x:v>Favourable outcomes divided by all equally likely outcomes gives 2.</x:v>
      </x:c>
      <x:c r="L75" s="60" t="str">
        <x:v>EF3GH</x:v>
      </x:c>
      <x:c r="M75" s="60" t="str">
        <x:v>Mathematics</x:v>
      </x:c>
      <x:c r="N75" s="60" t="str">
        <x:v>Visual or diagram required but unavailable</x:v>
      </x:c>
      <x:c r="O75" s="60" t="str">
        <x:v>Exclude until a visual is created or replace with a self-contained question.</x:v>
      </x:c>
    </x:row>
    <x:row r="76">
      <x:c r="A76" s="62" t="n">
        <x:v>162</x:v>
      </x:c>
      <x:c r="B76" s="60" t="str">
        <x:v>Mathematics</x:v>
      </x:c>
      <x:c r="C76" s="60" t="str">
        <x:v>Hard</x:v>
      </x:c>
      <x:c r="D76" s="60" t="str">
        <x:v>Quadratic Equations &amp; Polynomials</x:v>
      </x:c>
      <x:c r="E76" s="60" t="str">
        <x:v>If (x + 1)3 = x3 + 1 is expressed as a quadratic equation in the form px2 + qx + r = 0, then the value of p q + r is</x:v>
      </x:c>
      <x:c r="F76" s="60" t="str">
        <x:v>0</x:v>
      </x:c>
      <x:c r="G76" s="60" t="str">
        <x:v>1</x:v>
      </x:c>
      <x:c r="H76" s="60" t="str">
        <x:v>3</x:v>
      </x:c>
      <x:c r="I76" s="60" t="str">
        <x:v>6</x:v>
      </x:c>
      <x:c r="J76" s="60" t="str">
        <x:v>0</x:v>
      </x:c>
      <x:c r="K76" s="60" t="str">
        <x:v>Substituting the given values for “If x 1 3 x3 1 is” gives 0.</x:v>
      </x:c>
      <x:c r="L76" s="60" t="str">
        <x:v>EF3GH</x:v>
      </x:c>
      <x:c r="M76" s="60" t="str">
        <x:v>Mathematics</x:v>
      </x:c>
      <x:c r="N76" s="60" t="str">
        <x:v>Mathematical notation requires reconstruction</x:v>
      </x:c>
      <x:c r="O76" s="60" t="str">
        <x:v>Correct from a reliable source, independently verify the answer, then rescreen.</x:v>
      </x:c>
    </x:row>
    <x:row r="77">
      <x:c r="A77" s="62" t="n">
        <x:v>163</x:v>
      </x:c>
      <x:c r="B77" s="60" t="str">
        <x:v>Mathematics</x:v>
      </x:c>
      <x:c r="C77" s="60" t="str">
        <x:v>Easy</x:v>
      </x:c>
      <x:c r="D77" s="60" t="str">
        <x:v>Statistics</x:v>
      </x:c>
      <x:c r="E77" s="60" t="str">
        <x:v>The following table shows the marks scored by 23 students of a class. Marks 0 10 10 20 20 30 30 40 40 50 Number of Students 5 3 4 8 3 The lower limit of the modal class is</x:v>
      </x:c>
      <x:c r="F77" s="60" t="str">
        <x:v>10</x:v>
      </x:c>
      <x:c r="G77" s="60" t="str">
        <x:v>20</x:v>
      </x:c>
      <x:c r="H77" s="60" t="str">
        <x:v>30</x:v>
      </x:c>
      <x:c r="I77" s="60" t="str">
        <x:v>40</x:v>
      </x:c>
      <x:c r="J77" s="60" t="str">
        <x:v>30</x:v>
      </x:c>
      <x:c r="K77" s="60" t="str">
        <x:v>Substituting the given values for “The following table shows the marks scored” gives 30.</x:v>
      </x:c>
      <x:c r="L77" s="60" t="str">
        <x:v>EF3GH</x:v>
      </x:c>
      <x:c r="M77" s="60" t="str">
        <x:v>Mathematics</x:v>
      </x:c>
      <x:c r="N77" s="60" t="str">
        <x:v>Mathematical notation requires reconstruction</x:v>
      </x:c>
      <x:c r="O77" s="60" t="str">
        <x:v>Correct from a reliable source, independently verify the answer, then rescreen.</x:v>
      </x:c>
    </x:row>
    <x:row r="78">
      <x:c r="A78" s="62" t="n">
        <x:v>166</x:v>
      </x:c>
      <x:c r="B78" s="60" t="str">
        <x:v>Mathematics</x:v>
      </x:c>
      <x:c r="C78" s="60" t="str">
        <x:v>Hard</x:v>
      </x:c>
      <x:c r="D78" s="60" t="str">
        <x:v>Trigonometry</x:v>
      </x:c>
      <x:c r="E78" s="60" t="str">
        <x:v>The value of for which sin 2 = tan 45 is</x:v>
      </x:c>
      <x:c r="F78" s="60" t="str">
        <x:v>22·5</x:v>
      </x:c>
      <x:c r="G78" s="60" t="str">
        <x:v>30</x:v>
      </x:c>
      <x:c r="H78" s="60" t="str">
        <x:v>45</x:v>
      </x:c>
      <x:c r="I78" s="60" t="str">
        <x:v>90</x:v>
      </x:c>
      <x:c r="J78" s="60" t="str">
        <x:v>45</x:v>
      </x:c>
      <x:c r="K78" s="60" t="str">
        <x:v>Using the standard trigonometric identity gives 45.</x:v>
      </x:c>
      <x:c r="L78" s="60" t="str">
        <x:v>EF3GH</x:v>
      </x:c>
      <x:c r="M78" s="60" t="str">
        <x:v>Mathematics</x:v>
      </x:c>
      <x:c r="N78" s="60" t="str">
        <x:v>Mathematical notation requires reconstruction; Trigonometric variables and symbols are missing.</x:v>
      </x:c>
      <x:c r="O78" s="60" t="str">
        <x:v>Correct from a reliable source, independently verify the answer, then rescreen.</x:v>
      </x:c>
    </x:row>
    <x:row r="79">
      <x:c r="A79" s="62" t="n">
        <x:v>168</x:v>
      </x:c>
      <x:c r="B79" s="60" t="str">
        <x:v>Mathematics</x:v>
      </x:c>
      <x:c r="C79" s="60" t="str">
        <x:v>Easy</x:v>
      </x:c>
      <x:c r="D79" s="60" t="str">
        <x:v>Sequences</x:v>
      </x:c>
      <x:c r="E79" s="60" t="str">
        <x:v>The next term of the A.P. 5 , 20 , 45 , ..... i s</x:v>
      </x:c>
      <x:c r="F79" s="60" t="str">
        <x:v>60</x:v>
      </x:c>
      <x:c r="G79" s="60" t="str">
        <x:v>4 5</x:v>
      </x:c>
      <x:c r="H79" s="60" t="str">
        <x:v>75</x:v>
      </x:c>
      <x:c r="I79" s="60" t="str">
        <x:v>125</x:v>
      </x:c>
      <x:c r="J79" s="60" t="str">
        <x:v>4 5</x:v>
      </x:c>
      <x:c r="K79" s="60" t="str">
        <x:v>Applying the arithmetic-progression relation gives 4 5.</x:v>
      </x:c>
      <x:c r="L79" s="60" t="str">
        <x:v>EFGH/S</x:v>
      </x:c>
      <x:c r="M79" s="60" t="str">
        <x:v>Mathematics</x:v>
      </x:c>
      <x:c r="N79" s="60" t="str">
        <x:v>Mathematical notation requires reconstruction</x:v>
      </x:c>
      <x:c r="O79" s="60" t="str">
        <x:v>Correct from a reliable source, independently verify the answer, then rescreen.</x:v>
      </x:c>
    </x:row>
    <x:row r="80">
      <x:c r="A80" s="62" t="n">
        <x:v>169</x:v>
      </x:c>
      <x:c r="B80" s="60" t="str">
        <x:v>Mathematics</x:v>
      </x:c>
      <x:c r="C80" s="60" t="str">
        <x:v>Easy</x:v>
      </x:c>
      <x:c r="D80" s="60" t="str">
        <x:v>Probability</x:v>
      </x:c>
      <x:c r="E80" s="60" t="str">
        <x:v>Two different coins are tossed together. The probability of getting exactly one tail is</x:v>
      </x:c>
      <x:c r="F80" s="60" t="str">
        <x:v>1 4</x:v>
      </x:c>
      <x:c r="G80" s="60" t="str">
        <x:v>1 2</x:v>
      </x:c>
      <x:c r="H80" s="60" t="str">
        <x:v>3 4</x:v>
      </x:c>
      <x:c r="I80" s="60" t="str">
        <x:v>1</x:v>
      </x:c>
      <x:c r="J80" s="60" t="str">
        <x:v>1 2</x:v>
      </x:c>
      <x:c r="K80" s="60" t="str">
        <x:v>Favourable outcomes divided by all equally likely outcomes gives 1 2.</x:v>
      </x:c>
      <x:c r="L80" s="60" t="str">
        <x:v>EFGH/S</x:v>
      </x:c>
      <x:c r="M80" s="60" t="str">
        <x:v>Mathematics</x:v>
      </x:c>
      <x:c r="N80" s="60" t="str">
        <x:v>Mathematical notation requires reconstruction</x:v>
      </x:c>
      <x:c r="O80" s="60" t="str">
        <x:v>Correct from a reliable source, independently verify the answer, then rescreen.</x:v>
      </x:c>
    </x:row>
    <x:row r="81">
      <x:c r="A81" s="62" t="n">
        <x:v>170</x:v>
      </x:c>
      <x:c r="B81" s="60" t="str">
        <x:v>Mathematics</x:v>
      </x:c>
      <x:c r="C81" s="60" t="str">
        <x:v>Easy</x:v>
      </x:c>
      <x:c r="D81" s="60" t="str">
        <x:v>Probability</x:v>
      </x:c>
      <x:c r="E81" s="60" t="str">
        <x:v>A fair die is thrown once. The probability of getting an even number less than 3 is</x:v>
      </x:c>
      <x:c r="F81" s="60" t="str">
        <x:v>1 6</x:v>
      </x:c>
      <x:c r="G81" s="60" t="str">
        <x:v>1 3</x:v>
      </x:c>
      <x:c r="H81" s="60" t="str">
        <x:v>1 2</x:v>
      </x:c>
      <x:c r="I81" s="60" t="str">
        <x:v>0</x:v>
      </x:c>
      <x:c r="J81" s="60" t="str">
        <x:v>1 6</x:v>
      </x:c>
      <x:c r="K81" s="60" t="str">
        <x:v>Favourable outcomes divided by all equally likely outcomes gives 1 6.</x:v>
      </x:c>
      <x:c r="L81" s="60" t="str">
        <x:v>EFGH/S</x:v>
      </x:c>
      <x:c r="M81" s="60" t="str">
        <x:v>Mathematics</x:v>
      </x:c>
      <x:c r="N81" s="60" t="str">
        <x:v>Mathematical notation requires reconstruction</x:v>
      </x:c>
      <x:c r="O81" s="60" t="str">
        <x:v>Correct from a reliable source, independently verify the answer, then rescreen.</x:v>
      </x:c>
    </x:row>
    <x:row r="82">
      <x:c r="A82" s="62" t="n">
        <x:v>173</x:v>
      </x:c>
      <x:c r="B82" s="60" t="str">
        <x:v>Mathematics</x:v>
      </x:c>
      <x:c r="C82" s="60" t="str">
        <x:v>Easy</x:v>
      </x:c>
      <x:c r="D82" s="60" t="str">
        <x:v>Probability</x:v>
      </x:c>
      <x:c r="E82" s="60" t="str">
        <x:v>Two different coins are tossed together . T he probability of getting at least one head is</x:v>
      </x:c>
      <x:c r="F82" s="60" t="str">
        <x:v>1 2</x:v>
      </x:c>
      <x:c r="G82" s="60" t="str">
        <x:v>1 4</x:v>
      </x:c>
      <x:c r="H82" s="60" t="str">
        <x:v>3 4</x:v>
      </x:c>
      <x:c r="I82" s="60" t="str">
        <x:v>1 • • •</x:v>
      </x:c>
      <x:c r="J82" s="60" t="str">
        <x:v>3 4</x:v>
      </x:c>
      <x:c r="K82" s="60" t="str">
        <x:v>Favourable outcomes divided by all equally likely outcomes gives 3 4.</x:v>
      </x:c>
      <x:c r="L82" s="60" t="str">
        <x:v>EFGH/S</x:v>
      </x:c>
      <x:c r="M82" s="60" t="str">
        <x:v>Mathematics</x:v>
      </x:c>
      <x:c r="N82" s="60" t="str">
        <x:v>Mathematical notation requires reconstruction</x:v>
      </x:c>
      <x:c r="O82" s="60" t="str">
        <x:v>Correct from a reliable source, independently verify the answer, then rescreen.</x:v>
      </x:c>
    </x:row>
    <x:row r="83">
      <x:c r="A83" s="62" t="n">
        <x:v>174</x:v>
      </x:c>
      <x:c r="B83" s="60" t="str">
        <x:v>Mathematics</x:v>
      </x:c>
      <x:c r="C83" s="60" t="str">
        <x:v>Easy</x:v>
      </x:c>
      <x:c r="D83" s="60" t="str">
        <x:v>Probability</x:v>
      </x:c>
      <x:c r="E83" s="60" t="str">
        <x:v>A fair die is thrown once. The probability of getting a prime number less than 5 is</x:v>
      </x:c>
      <x:c r="F83" s="60" t="str">
        <x:v>1 6</x:v>
      </x:c>
      <x:c r="G83" s="60" t="str">
        <x:v>1 3</x:v>
      </x:c>
      <x:c r="H83" s="60" t="str">
        <x:v>1 2</x:v>
      </x:c>
      <x:c r="I83" s="60" t="str">
        <x:v>1</x:v>
      </x:c>
      <x:c r="J83" s="60" t="str">
        <x:v>1 3</x:v>
      </x:c>
      <x:c r="K83" s="60" t="str">
        <x:v>Favourable outcomes divided by all equally likely outcomes gives 1 3.</x:v>
      </x:c>
      <x:c r="L83" s="60" t="str">
        <x:v>EFGH/S</x:v>
      </x:c>
      <x:c r="M83" s="60" t="str">
        <x:v>Mathematics</x:v>
      </x:c>
      <x:c r="N83" s="60" t="str">
        <x:v>Mathematical notation requires reconstruction</x:v>
      </x:c>
      <x:c r="O83" s="60" t="str">
        <x:v>Correct from a reliable source, independently verify the answer, then rescreen.</x:v>
      </x:c>
    </x:row>
    <x:row r="84">
      <x:c r="A84" s="62" t="n">
        <x:v>175</x:v>
      </x:c>
      <x:c r="B84" s="60" t="str">
        <x:v>Mathematics</x:v>
      </x:c>
      <x:c r="C84" s="60" t="str">
        <x:v>Easy</x:v>
      </x:c>
      <x:c r="D84" s="60" t="str">
        <x:v>General Mathematics</x:v>
      </x:c>
      <x:c r="E84" s="60" t="str">
        <x:v>If ( 1 2 , 6) is the mid - point of the line segment joining ( – 5, k) and (6, 3) , then the value of ‘k’ is</x:v>
      </x:c>
      <x:c r="F84" s="60" t="str">
        <x:v>0</x:v>
      </x:c>
      <x:c r="G84" s="60" t="str">
        <x:v>3</x:v>
      </x:c>
      <x:c r="H84" s="60" t="str">
        <x:v>9 2</x:v>
      </x:c>
      <x:c r="I84" s="60" t="str">
        <x:v>9</x:v>
      </x:c>
      <x:c r="J84" s="60" t="str">
        <x:v>0</x:v>
      </x:c>
      <x:c r="K84" s="60" t="str">
        <x:v>Substituting the given values for “If 1 2 6 is the mid” gives 0.</x:v>
      </x:c>
      <x:c r="L84" s="60" t="str">
        <x:v>EFGH/S</x:v>
      </x:c>
      <x:c r="M84" s="60" t="str">
        <x:v>Mathematics</x:v>
      </x:c>
      <x:c r="N84" s="60" t="str">
        <x:v>Mathematical notation requires reconstruction</x:v>
      </x:c>
      <x:c r="O84" s="60" t="str">
        <x:v>Correct from a reliable source, independently verify the answer, then rescreen.</x:v>
      </x:c>
    </x:row>
    <x:row r="85">
      <x:c r="A85" s="62" t="n">
        <x:v>176</x:v>
      </x:c>
      <x:c r="B85" s="60" t="str">
        <x:v>Mathematics</x:v>
      </x:c>
      <x:c r="C85" s="60" t="str">
        <x:v>Easy</x:v>
      </x:c>
      <x:c r="D85" s="60" t="str">
        <x:v>Sequences</x:v>
      </x:c>
      <x:c r="E85" s="60" t="str">
        <x:v>The next term of the A.P. 7 , 28 , 63 , ...... is</x:v>
      </x:c>
      <x:c r="F85" s="60" t="str">
        <x:v>81</x:v>
      </x:c>
      <x:c r="G85" s="60" t="str">
        <x:v>126</x:v>
      </x:c>
      <x:c r="H85" s="60" t="str">
        <x:v>112</x:v>
      </x:c>
      <x:c r="I85" s="60" t="str">
        <x:v>5 7</x:v>
      </x:c>
      <x:c r="J85" s="60" t="str">
        <x:v>112</x:v>
      </x:c>
      <x:c r="K85" s="60" t="str">
        <x:v>Applying the arithmetic-progression relation gives 112.</x:v>
      </x:c>
      <x:c r="L85" s="60" t="str">
        <x:v>EFGH/S</x:v>
      </x:c>
      <x:c r="M85" s="60" t="str">
        <x:v>Mathematics</x:v>
      </x:c>
      <x:c r="N85" s="60" t="str">
        <x:v>Mathematical notation requires reconstruction</x:v>
      </x:c>
      <x:c r="O85" s="60" t="str">
        <x:v>Correct from a reliable source, independently verify the answer, then rescreen.</x:v>
      </x:c>
    </x:row>
    <x:row r="86">
      <x:c r="A86" s="62" t="n">
        <x:v>178</x:v>
      </x:c>
      <x:c r="B86" s="60" t="str">
        <x:v>Mathematics</x:v>
      </x:c>
      <x:c r="C86" s="60" t="str">
        <x:v>Hard</x:v>
      </x:c>
      <x:c r="D86" s="60" t="str">
        <x:v>Trigonometry</x:v>
      </x:c>
      <x:c r="E86" s="60" t="str">
        <x:v>If 4 tan A = 3, then 4 sin A cos A 4 sin A cos A – + is equal to</x:v>
      </x:c>
      <x:c r="F86" s="60" t="str">
        <x:v>2 3</x:v>
      </x:c>
      <x:c r="G86" s="60" t="str">
        <x:v>1 3</x:v>
      </x:c>
      <x:c r="H86" s="60" t="str">
        <x:v>1 2</x:v>
      </x:c>
      <x:c r="I86" s="60" t="str">
        <x:v>3 4</x:v>
      </x:c>
      <x:c r="J86" s="60" t="str">
        <x:v>1 2</x:v>
      </x:c>
      <x:c r="K86" s="60" t="str">
        <x:v>Using the standard trigonometric identity gives 1 2.</x:v>
      </x:c>
      <x:c r="L86" s="60" t="str">
        <x:v>EFGH/S</x:v>
      </x:c>
      <x:c r="M86" s="60" t="str">
        <x:v>Mathematics</x:v>
      </x:c>
      <x:c r="N86" s="60" t="str">
        <x:v>Mathematical notation requires reconstruction; Trigonometric expression and fractions are unreadable.</x:v>
      </x:c>
      <x:c r="O86" s="60" t="str">
        <x:v>Correct from a reliable source, independently verify the answer, then rescreen.</x:v>
      </x:c>
    </x:row>
    <x:row r="87">
      <x:c r="A87" s="62" t="n">
        <x:v>182</x:v>
      </x:c>
      <x:c r="B87" s="60" t="str">
        <x:v>Mathematics</x:v>
      </x:c>
      <x:c r="C87" s="60" t="str">
        <x:v>Medium</x:v>
      </x:c>
      <x:c r="D87" s="60" t="str">
        <x:v>Probability</x:v>
      </x:c>
      <x:c r="E87" s="60" t="str">
        <x:v>Cards numbered 10, 11, 12, ..., 30 are kept in a box and shuffled thoroughly. Rohit draws a card at random from the box. The probability that the number on the card is a multiple of 4 or 5 is</x:v>
      </x:c>
      <x:c r="F87" s="60" t="str">
        <x:v>9 20</x:v>
      </x:c>
      <x:c r="G87" s="60" t="str">
        <x:v>9 21</x:v>
      </x:c>
      <x:c r="H87" s="60" t="str">
        <x:v>10 20</x:v>
      </x:c>
      <x:c r="I87" s="60" t="str">
        <x:v>10 21</x:v>
      </x:c>
      <x:c r="J87" s="60" t="str">
        <x:v>9 21</x:v>
      </x:c>
      <x:c r="K87" s="60" t="str">
        <x:v>Favourable outcomes divided by all equally likely outcomes gives 9 21.</x:v>
      </x:c>
      <x:c r="L87" s="60" t="str">
        <x:v>EFGH/S</x:v>
      </x:c>
      <x:c r="M87" s="60" t="str">
        <x:v>Mathematics</x:v>
      </x:c>
      <x:c r="N87" s="60" t="str">
        <x:v>Mathematical notation requires reconstruction</x:v>
      </x:c>
      <x:c r="O87" s="60" t="str">
        <x:v>Correct from a reliable source, independently verify the answer, then rescreen.</x:v>
      </x:c>
    </x:row>
    <x:row r="88">
      <x:c r="A88" s="62" t="n">
        <x:v>183</x:v>
      </x:c>
      <x:c r="B88" s="60" t="str">
        <x:v>Mathematics</x:v>
      </x:c>
      <x:c r="C88" s="60" t="str">
        <x:v>Hard</x:v>
      </x:c>
      <x:c r="D88" s="60" t="str">
        <x:v>Circle Theorems</x:v>
      </x:c>
      <x:c r="E88" s="60" t="str">
        <x:v>If the perimeter of a square is equal to that of a circle, then the ratio of their areas is</x:v>
      </x:c>
      <x:c r="F88" s="60" t="str">
        <x:v>07:22</x:v>
      </x:c>
      <x:c r="G88" s="60" t="str">
        <x:v>11:14</x:v>
      </x:c>
      <x:c r="H88" s="60" t="str">
        <x:v>22:07</x:v>
      </x:c>
      <x:c r="I88" s="60" t="str">
        <x:v>14:11</x:v>
      </x:c>
      <x:c r="J88" s="60" t="str">
        <x:v>11:14</x:v>
      </x:c>
      <x:c r="K88" s="60" t="str">
        <x:v>The relevant circle measure for “If the perimeter of a square is” is 11 : 14.</x:v>
      </x:c>
      <x:c r="L88" s="60" t="str">
        <x:v>EFGH/S</x:v>
      </x:c>
      <x:c r="M88" s="60" t="str">
        <x:v>Mathematics</x:v>
      </x:c>
      <x:c r="N88" s="60" t="str">
        <x:v>Spreadsheet auto-formatting corrupted a fraction or ratio; Ratios were converted into time values.; Explanation and stored answer are inconsistent</x:v>
      </x:c>
      <x:c r="O88" s="60" t="str">
        <x:v>Correct from a reliable source, independently verify the answer, then rescreen.</x:v>
      </x:c>
    </x:row>
    <x:row r="89">
      <x:c r="A89" s="62" t="n">
        <x:v>184</x:v>
      </x:c>
      <x:c r="B89" s="60" t="str">
        <x:v>Mathematics</x:v>
      </x:c>
      <x:c r="C89" s="60" t="str">
        <x:v>Easy</x:v>
      </x:c>
      <x:c r="D89" s="60" t="str">
        <x:v>General Mathematics</x:v>
      </x:c>
      <x:c r="E89" s="60" t="str">
        <x:v>If the sum of the first ‘n’ terms of an AP is 2n 2 + 5n, then its common difference is</x:v>
      </x:c>
      <x:c r="F89" s="60" t="str">
        <x:v>2</x:v>
      </x:c>
      <x:c r="G89" s="60" t="str">
        <x:v>4</x:v>
      </x:c>
      <x:c r="H89" s="60" t="str">
        <x:v>5</x:v>
      </x:c>
      <x:c r="I89" s="60" t="str">
        <x:v>7</x:v>
      </x:c>
      <x:c r="J89" s="60" t="str">
        <x:v>4</x:v>
      </x:c>
      <x:c r="K89" s="60" t="str">
        <x:v>Applying the arithmetic-progression relation gives 4.</x:v>
      </x:c>
      <x:c r="L89" s="60" t="str">
        <x:v>EFGH/S</x:v>
      </x:c>
      <x:c r="M89" s="60" t="str">
        <x:v>Mathematics</x:v>
      </x:c>
      <x:c r="N89" s="60" t="str">
        <x:v>Mathematical notation requires reconstruction</x:v>
      </x:c>
      <x:c r="O89" s="60" t="str">
        <x:v>Correct from a reliable source, independently verify the answer, then rescreen.</x:v>
      </x:c>
    </x:row>
    <x:row r="90">
      <x:c r="A90" s="62" t="n">
        <x:v>185</x:v>
      </x:c>
      <x:c r="B90" s="60" t="str">
        <x:v>Mathematics</x:v>
      </x:c>
      <x:c r="C90" s="60" t="str">
        <x:v>Hard</x:v>
      </x:c>
      <x:c r="D90" s="60" t="str">
        <x:v>Trigonometry</x:v>
      </x:c>
      <x:c r="E90" s="60" t="str">
        <x:v>In the given figure, PQ and PR are tangents to the circle such that PQ = 7 cm and ∠ RPQ = 60 ° . The length of chord QR is</x:v>
      </x:c>
      <x:c r="F90" s="60" t="str">
        <x:v>5 cm</x:v>
      </x:c>
      <x:c r="G90" s="60" t="str">
        <x:v>7 cm</x:v>
      </x:c>
      <x:c r="H90" s="60" t="str">
        <x:v>9 cm</x:v>
      </x:c>
      <x:c r="I90" s="60" t="str">
        <x:v>14 cm</x:v>
      </x:c>
      <x:c r="J90" s="60" t="str">
        <x:v>7 cm</x:v>
      </x:c>
      <x:c r="K90" s="60" t="str">
        <x:v>The relevant circle measure for “In the given figure PQ and PR” is 7 cm.</x:v>
      </x:c>
      <x:c r="L90" s="60" t="str">
        <x:v>EFGH/S</x:v>
      </x:c>
      <x:c r="M90" s="60" t="str">
        <x:v>Mathematics</x:v>
      </x:c>
      <x:c r="N90" s="60" t="str">
        <x:v>Visual or diagram required but unavailable</x:v>
      </x:c>
      <x:c r="O90" s="60" t="str">
        <x:v>Exclude until a visual is created or replace with a self-contained question.</x:v>
      </x:c>
    </x:row>
    <x:row r="91">
      <x:c r="A91" s="62" t="n">
        <x:v>187</x:v>
      </x:c>
      <x:c r="B91" s="60" t="str">
        <x:v>Mathematics</x:v>
      </x:c>
      <x:c r="C91" s="60" t="str">
        <x:v>Easy</x:v>
      </x:c>
      <x:c r="D91" s="60" t="str">
        <x:v>General Mathematics</x:v>
      </x:c>
      <x:c r="E91" s="60" t="str">
        <x:v>The 6 th term of the AP 27 , 75 , 147 , ... is</x:v>
      </x:c>
      <x:c r="F91" s="60" t="str">
        <x:v>243</x:v>
      </x:c>
      <x:c r="G91" s="60" t="str">
        <x:v>363</x:v>
      </x:c>
      <x:c r="H91" s="60" t="str">
        <x:v>300</x:v>
      </x:c>
      <x:c r="I91" s="60" t="str">
        <x:v>507</x:v>
      </x:c>
      <x:c r="J91" s="60" t="str">
        <x:v>507</x:v>
      </x:c>
      <x:c r="K91" s="60" t="str">
        <x:v>Applying the arithmetic-progression relation gives 507.</x:v>
      </x:c>
      <x:c r="L91" s="60" t="str">
        <x:v>EFGH/S</x:v>
      </x:c>
      <x:c r="M91" s="60" t="str">
        <x:v>Mathematics</x:v>
      </x:c>
      <x:c r="N91" s="60" t="str">
        <x:v>Mathematical notation requires reconstruction</x:v>
      </x:c>
      <x:c r="O91" s="60" t="str">
        <x:v>Correct from a reliable source, independently verify the answer, then rescreen.</x:v>
      </x:c>
    </x:row>
    <x:row r="92">
      <x:c r="A92" s="62" t="n">
        <x:v>188</x:v>
      </x:c>
      <x:c r="B92" s="60" t="str">
        <x:v>Mathematics</x:v>
      </x:c>
      <x:c r="C92" s="60" t="str">
        <x:v>Easy</x:v>
      </x:c>
      <x:c r="D92" s="60" t="str">
        <x:v>Number Systems</x:v>
      </x:c>
      <x:c r="E92" s="60" t="str">
        <x:v>The total number of factors of the square of a prime number is</x:v>
      </x:c>
      <x:c r="F92" s="60" t="str">
        <x:v>1</x:v>
      </x:c>
      <x:c r="G92" s="60" t="str">
        <x:v>2</x:v>
      </x:c>
      <x:c r="H92" s="60" t="str">
        <x:v>3</x:v>
      </x:c>
      <x:c r="I92" s="60" t="str">
        <x:v>4</x:v>
      </x:c>
      <x:c r="J92" s="60" t="str">
        <x:v>3</x:v>
      </x:c>
      <x:c r="K92" s="60" t="str">
        <x:v>Substituting the given values for “The total number of factors of the” gives 3.</x:v>
      </x:c>
      <x:c r="L92" s="60" t="str">
        <x:v>EFGH/S</x:v>
      </x:c>
      <x:c r="M92" s="60" t="str">
        <x:v>Mathematics</x:v>
      </x:c>
      <x:c r="N92" s="60" t="str">
        <x:v>Mathematical notation requires reconstruction</x:v>
      </x:c>
      <x:c r="O92" s="60" t="str">
        <x:v>Correct from a reliable source, independently verify the answer, then rescreen.</x:v>
      </x:c>
    </x:row>
    <x:row r="93">
      <x:c r="A93" s="62" t="n">
        <x:v>189</x:v>
      </x:c>
      <x:c r="B93" s="60" t="str">
        <x:v>Mathematics</x:v>
      </x:c>
      <x:c r="C93" s="60" t="str">
        <x:v>Medium</x:v>
      </x:c>
      <x:c r="D93" s="60" t="str">
        <x:v>Linear Equations</x:v>
      </x:c>
      <x:c r="E93" s="60" t="str">
        <x:v>The value of ‘k’ for which the pair of linear equations (k + 1)x + 2(1 – k)y = 15; 4y = 3x – 8 has no s olution, is</x:v>
      </x:c>
      <x:c r="F93" s="60" t="str">
        <x:v>3</x:v>
      </x:c>
      <x:c r="G93" s="60" t="str">
        <x:v>1 5</x:v>
      </x:c>
      <x:c r="H93" s="60" t="str">
        <x:v>5</x:v>
      </x:c>
      <x:c r="I93" s="60" t="str">
        <x:v>37 8</x:v>
      </x:c>
      <x:c r="J93" s="60" t="str">
        <x:v>5</x:v>
      </x:c>
      <x:c r="K93" s="60" t="str">
        <x:v>Substituting the given values for “The value of k for which the” gives 5.</x:v>
      </x:c>
      <x:c r="L93" s="60" t="str">
        <x:v>EFGH/S</x:v>
      </x:c>
      <x:c r="M93" s="60" t="str">
        <x:v>Mathematics</x:v>
      </x:c>
      <x:c r="N93" s="60" t="str">
        <x:v>Mathematical notation requires reconstruction</x:v>
      </x:c>
      <x:c r="O93" s="60" t="str">
        <x:v>Correct from a reliable source, independently verify the answer, then rescreen.</x:v>
      </x:c>
    </x:row>
    <x:row r="94">
      <x:c r="A94" s="62" t="n">
        <x:v>190</x:v>
      </x:c>
      <x:c r="B94" s="60" t="str">
        <x:v>Mathematics</x:v>
      </x:c>
      <x:c r="C94" s="60" t="str">
        <x:v>Hard</x:v>
      </x:c>
      <x:c r="D94" s="60" t="str">
        <x:v>Trigonometry</x:v>
      </x:c>
      <x:c r="E94" s="60" t="str">
        <x:v>Two dice are thrown simultaneously and the product of the numbers appearing on the tops is noted. The probability of the product to be less than 6 is</x:v>
      </x:c>
      <x:c r="F94" s="60" t="str">
        <x:v>1 6</x:v>
      </x:c>
      <x:c r="G94" s="60" t="str">
        <x:v>1 4</x:v>
      </x:c>
      <x:c r="H94" s="60" t="str">
        <x:v>5 18</x:v>
      </x:c>
      <x:c r="I94" s="60" t="str">
        <x:v>7 18</x:v>
      </x:c>
      <x:c r="J94" s="60" t="str">
        <x:v>5 18</x:v>
      </x:c>
      <x:c r="K94" s="60" t="str">
        <x:v>Favourable outcomes divided by all equally likely outcomes gives 5 18.</x:v>
      </x:c>
      <x:c r="L94" s="60" t="str">
        <x:v>EFGH/S</x:v>
      </x:c>
      <x:c r="M94" s="60" t="str">
        <x:v>Mathematics</x:v>
      </x:c>
      <x:c r="N94" s="60" t="str">
        <x:v>Mathematical notation requires reconstruction</x:v>
      </x:c>
      <x:c r="O94" s="60" t="str">
        <x:v>Correct from a reliable source, independently verify the answer, then rescreen.</x:v>
      </x:c>
    </x:row>
    <x:row r="95">
      <x:c r="A95" s="62" t="n">
        <x:v>192</x:v>
      </x:c>
      <x:c r="B95" s="60" t="str">
        <x:v>Mathematics</x:v>
      </x:c>
      <x:c r="C95" s="60" t="str">
        <x:v>Medium</x:v>
      </x:c>
      <x:c r="D95" s="60" t="str">
        <x:v>Linear Equations</x:v>
      </x:c>
      <x:c r="E95" s="60" t="str">
        <x:v>If the pair of linear equations 2 x + 3 y = 5 and 4 ky – (1 – 3 k ) x = 6 k + 2 represents coincident lines, then the value of ‘k’ is</x:v>
      </x:c>
      <x:c r="F95" s="60" t="str">
        <x:v>1 – 3</x:v>
      </x:c>
      <x:c r="G95" s="60" t="str">
        <x:v>3</x:v>
      </x:c>
      <x:c r="H95" s="60" t="str">
        <x:v>1 4</x:v>
      </x:c>
      <x:c r="I95" s="60" t="str">
        <x:v>4</x:v>
      </x:c>
      <x:c r="J95" s="60" t="str">
        <x:v>3</x:v>
      </x:c>
      <x:c r="K95" s="60" t="str">
        <x:v>Substituting the given values for “If the pair of linear equations 2” gives 3.</x:v>
      </x:c>
      <x:c r="L95" s="60" t="str">
        <x:v>EFGH/S</x:v>
      </x:c>
      <x:c r="M95" s="60" t="str">
        <x:v>Mathematics</x:v>
      </x:c>
      <x:c r="N95" s="60" t="str">
        <x:v>Mathematical notation requires reconstruction</x:v>
      </x:c>
      <x:c r="O95" s="60" t="str">
        <x:v>Correct from a reliable source, independently verify the answer, then rescreen.</x:v>
      </x:c>
    </x:row>
    <x:row r="96">
      <x:c r="A96" s="62" t="n">
        <x:v>193</x:v>
      </x:c>
      <x:c r="B96" s="60" t="str">
        <x:v>Mathematics</x:v>
      </x:c>
      <x:c r="C96" s="60" t="str">
        <x:v>Easy</x:v>
      </x:c>
      <x:c r="D96" s="60" t="str">
        <x:v>Geometry</x:v>
      </x:c>
      <x:c r="E96" s="60" t="str">
        <x:v>In the given figure, D ABC and D PQR will be similar, if</x:v>
      </x:c>
      <x:c r="F96" s="60" t="str">
        <x:v>Length of side BC is 4 2 cm</x:v>
      </x:c>
      <x:c r="G96" s="60" t="str">
        <x:v>BC : RQ = 2 :</x:v>
      </x:c>
      <x:c r="H96" s="60" t="str">
        <x:v>Measure of ∠ A is 35 °</x:v>
      </x:c>
      <x:c r="I96" s="60" t="str">
        <x:v>Measure of ∠ A is 110 °</x:v>
      </x:c>
      <x:c r="J96" s="60" t="str">
        <x:v>Measure of ∠ A is 110 °</x:v>
      </x:c>
      <x:c r="K96" s="60" t="str">
        <x:v>Substituting the given values for “In the given figure D ABC and” gives Measure of ∠ A is 110 °.</x:v>
      </x:c>
      <x:c r="L96" s="60" t="str">
        <x:v>EFGH/S</x:v>
      </x:c>
      <x:c r="M96" s="60" t="str">
        <x:v>Mathematics</x:v>
      </x:c>
      <x:c r="N96" s="60" t="str">
        <x:v>Visual or diagram required but unavailable; Missing figure and incomplete geometry notation.</x:v>
      </x:c>
      <x:c r="O96" s="60" t="str">
        <x:v>Exclude until a visual is created or replace with a self-contained question.</x:v>
      </x:c>
    </x:row>
    <x:row r="97">
      <x:c r="A97" s="62" t="n">
        <x:v>197</x:v>
      </x:c>
      <x:c r="B97" s="60" t="str">
        <x:v>Mathematics</x:v>
      </x:c>
      <x:c r="C97" s="60" t="str">
        <x:v>Easy</x:v>
      </x:c>
      <x:c r="D97" s="60" t="str">
        <x:v>General Mathematics</x:v>
      </x:c>
      <x:c r="E97" s="60" t="str">
        <x:v>If the 23 rd term of an AP exceeds its 16 th term by 21, then the common difference is</x:v>
      </x:c>
      <x:c r="F97" s="60" t="str">
        <x:v>1</x:v>
      </x:c>
      <x:c r="G97" s="60" t="str">
        <x:v>2</x:v>
      </x:c>
      <x:c r="H97" s="60" t="str">
        <x:v>3</x:v>
      </x:c>
      <x:c r="I97" s="60" t="str">
        <x:v>7</x:v>
      </x:c>
      <x:c r="J97" s="60" t="str">
        <x:v>3</x:v>
      </x:c>
      <x:c r="K97" s="60" t="str">
        <x:v>Applying the arithmetic-progression relation gives 3.</x:v>
      </x:c>
      <x:c r="L97" s="60" t="str">
        <x:v>EFGH/S</x:v>
      </x:c>
      <x:c r="M97" s="60" t="str">
        <x:v>Mathematics</x:v>
      </x:c>
      <x:c r="N97" s="60" t="str">
        <x:v>Mathematical notation requires reconstruction</x:v>
      </x:c>
      <x:c r="O97" s="60" t="str">
        <x:v>Correct from a reliable source, independently verify the answer, then rescreen.</x:v>
      </x:c>
    </x:row>
    <x:row r="98">
      <x:c r="A98" s="62" t="n">
        <x:v>198</x:v>
      </x:c>
      <x:c r="B98" s="60" t="str">
        <x:v>Mathematics</x:v>
      </x:c>
      <x:c r="C98" s="60" t="str">
        <x:v>Easy</x:v>
      </x:c>
      <x:c r="D98" s="60" t="str">
        <x:v>General Mathematics</x:v>
      </x:c>
      <x:c r="E98" s="60" t="str">
        <x:v>In the given figure, PQ | |SR. The value of x is</x:v>
      </x:c>
      <x:c r="F98" s="60" t="str">
        <x:v>3</x:v>
      </x:c>
      <x:c r="G98" s="60" t="str">
        <x:v>5</x:v>
      </x:c>
      <x:c r="H98" s="60" t="str">
        <x:v>6</x:v>
      </x:c>
      <x:c r="I98" s="60" t="str">
        <x:v>7</x:v>
      </x:c>
      <x:c r="J98" s="60" t="str">
        <x:v>7</x:v>
      </x:c>
      <x:c r="K98" s="60" t="str">
        <x:v>Substituting the given values for “In the given figure PQ SR The” gives 7.</x:v>
      </x:c>
      <x:c r="L98" s="60" t="str">
        <x:v>EFGH/S</x:v>
      </x:c>
      <x:c r="M98" s="60" t="str">
        <x:v>Mathematics</x:v>
      </x:c>
      <x:c r="N98" s="60" t="str">
        <x:v>Visual or diagram required but unavailable; Mathematical notation requires reconstruction</x:v>
      </x:c>
      <x:c r="O98" s="60" t="str">
        <x:v>Exclude until a visual is created or replace with a self-contained question.</x:v>
      </x:c>
    </x:row>
    <x:row r="99">
      <x:c r="A99" s="62" t="n">
        <x:v>200</x:v>
      </x:c>
      <x:c r="B99" s="60" t="str">
        <x:v>Mathematics</x:v>
      </x:c>
      <x:c r="C99" s="60" t="str">
        <x:v>Hard</x:v>
      </x:c>
      <x:c r="D99" s="60" t="str">
        <x:v>Trigonometry</x:v>
      </x:c>
      <x:c r="E99" s="60" t="str">
        <x:v>If 7 cos2 + 3 sin2 = 4, then the value of is</x:v>
      </x:c>
      <x:c r="F99" s="60" t="str">
        <x:v>30</x:v>
      </x:c>
      <x:c r="G99" s="60" t="str">
        <x:v>45</x:v>
      </x:c>
      <x:c r="H99" s="60" t="str">
        <x:v>60</x:v>
      </x:c>
      <x:c r="I99" s="60" t="str">
        <x:v>90</x:v>
      </x:c>
      <x:c r="J99" s="60" t="str">
        <x:v>60</x:v>
      </x:c>
      <x:c r="K99" s="60" t="str">
        <x:v>Using the standard trigonometric identity gives 60.</x:v>
      </x:c>
      <x:c r="L99" s="60" t="str">
        <x:v>EGFH2</x:v>
      </x:c>
      <x:c r="M99" s="60" t="str">
        <x:v>Mathematics</x:v>
      </x:c>
      <x:c r="N99" s="60" t="str">
        <x:v>Mathematical notation requires reconstruction</x:v>
      </x:c>
      <x:c r="O99" s="60" t="str">
        <x:v>Correct from a reliable source, independently verify the answer, then rescreen.</x:v>
      </x:c>
    </x:row>
    <x:row r="100">
      <x:c r="A100" s="62" t="n">
        <x:v>201</x:v>
      </x:c>
      <x:c r="B100" s="60" t="str">
        <x:v>Mathematics</x:v>
      </x:c>
      <x:c r="C100" s="60" t="str">
        <x:v>Easy</x:v>
      </x:c>
      <x:c r="D100" s="60" t="str">
        <x:v>General Mathematics</x:v>
      </x:c>
      <x:c r="E100" s="60" t="str">
        <x:v>In the given figure, PQ| |BC. If = and AC = 20·4 cm, then the length of AQ is</x:v>
      </x:c>
      <x:c r="F100" s="60" t="str">
        <x:v>2·8 cm</x:v>
      </x:c>
      <x:c r="G100" s="60" t="str">
        <x:v>5·8 cm</x:v>
      </x:c>
      <x:c r="H100" s="60" t="str">
        <x:v>3·8 cm</x:v>
      </x:c>
      <x:c r="I100" s="60" t="str">
        <x:v>4·8 cm</x:v>
      </x:c>
      <x:c r="J100" s="60" t="str">
        <x:v>4·8 cm</x:v>
      </x:c>
      <x:c r="K100" s="60" t="str">
        <x:v>Substituting the given values for “In the given figure PQ BC If” gives 4·8 cm.</x:v>
      </x:c>
      <x:c r="L100" s="60" t="str">
        <x:v>EGFH2</x:v>
      </x:c>
      <x:c r="M100" s="60" t="str">
        <x:v>Mathematics</x:v>
      </x:c>
      <x:c r="N100" s="60" t="str">
        <x:v>Visual or diagram required but unavailable; Missing figure and missing mathematical expression.</x:v>
      </x:c>
      <x:c r="O100" s="60" t="str">
        <x:v>Exclude until a visual is created or replace with a self-contained question.</x:v>
      </x:c>
    </x:row>
    <x:row r="101">
      <x:c r="A101" s="62" t="n">
        <x:v>202</x:v>
      </x:c>
      <x:c r="B101" s="60" t="str">
        <x:v>Mathematics</x:v>
      </x:c>
      <x:c r="C101" s="60" t="str">
        <x:v>Hard</x:v>
      </x:c>
      <x:c r="D101" s="60" t="str">
        <x:v>Trigonometry</x:v>
      </x:c>
      <x:c r="E101" s="60" t="str">
        <x:v>In the given figure, RS is the tangent to the circle at the point L and MN is the diameter. If NML = 30, then RLM is</x:v>
      </x:c>
      <x:c r="F101" s="60" t="str">
        <x:v>30</x:v>
      </x:c>
      <x:c r="G101" s="60" t="str">
        <x:v>60</x:v>
      </x:c>
      <x:c r="H101" s="60" t="str">
        <x:v>90</x:v>
      </x:c>
      <x:c r="I101" s="60" t="str">
        <x:v>120</x:v>
      </x:c>
      <x:c r="J101" s="60" t="str">
        <x:v>60</x:v>
      </x:c>
      <x:c r="K101" s="60" t="str">
        <x:v>The relevant circle measure for “In the given figure RS is the” is 60.</x:v>
      </x:c>
      <x:c r="L101" s="60" t="str">
        <x:v>EGFH2</x:v>
      </x:c>
      <x:c r="M101" s="60" t="str">
        <x:v>Mathematics</x:v>
      </x:c>
      <x:c r="N101" s="60" t="str">
        <x:v>Visual or diagram required but unavailable; Mathematical notation requires reconstruction</x:v>
      </x:c>
      <x:c r="O101" s="60" t="str">
        <x:v>Exclude until a visual is created or replace with a self-contained question.</x:v>
      </x:c>
    </x:row>
    <x:row r="102">
      <x:c r="A102" s="62" t="n">
        <x:v>203</x:v>
      </x:c>
      <x:c r="B102" s="60" t="str">
        <x:v>Mathematics</x:v>
      </x:c>
      <x:c r="C102" s="60" t="str">
        <x:v>Easy</x:v>
      </x:c>
      <x:c r="D102" s="60" t="str">
        <x:v>Number Systems</x:v>
      </x:c>
      <x:c r="E102" s="60" t="str">
        <x:v>The least number which is a perfect square and is divisible by each of 16, 20 and 50, is</x:v>
      </x:c>
      <x:c r="F102" s="60" t="str">
        <x:v>1200</x:v>
      </x:c>
      <x:c r="G102" s="60" t="str">
        <x:v>100</x:v>
      </x:c>
      <x:c r="H102" s="60" t="str">
        <x:v>3600</x:v>
      </x:c>
      <x:c r="I102" s="60" t="str">
        <x:v>2400</x:v>
      </x:c>
      <x:c r="J102" s="60" t="str">
        <x:v>2400</x:v>
      </x:c>
      <x:c r="K102" s="60" t="str">
        <x:v>Substituting the given values for “The least number which is a perfect” gives 2400.</x:v>
      </x:c>
      <x:c r="L102" s="60" t="str">
        <x:v>EGFH2</x:v>
      </x:c>
      <x:c r="M102" s="60" t="str">
        <x:v>Mathematics</x:v>
      </x:c>
      <x:c r="N102" s="60" t="str">
        <x:v>Mathematical notation requires reconstruction</x:v>
      </x:c>
      <x:c r="O102" s="60" t="str">
        <x:v>Correct from a reliable source, independently verify the answer, then rescreen.</x:v>
      </x:c>
    </x:row>
    <x:row r="103">
      <x:c r="A103" s="62" t="n">
        <x:v>205</x:v>
      </x:c>
      <x:c r="B103" s="60" t="str">
        <x:v>Mathematics</x:v>
      </x:c>
      <x:c r="C103" s="60" t="str">
        <x:v>Easy</x:v>
      </x:c>
      <x:c r="D103" s="60" t="str">
        <x:v>General Mathematics</x:v>
      </x:c>
      <x:c r="E103" s="60" t="str">
        <x:v>Which of the following statements is incorrect?</x:v>
      </x:c>
      <x:c r="F103" s="60" t="str">
        <x:v>Two congruent figures are always similar.</x:v>
      </x:c>
      <x:c r="G103" s="60" t="str">
        <x:v>A square and a rhombus of the same area are always similar.</x:v>
      </x:c>
      <x:c r="H103" s="60" t="str">
        <x:v>Two equilateral triangles are always similar.</x:v>
      </x:c>
      <x:c r="I103" s="60" t="str">
        <x:v>Two similar triangles need not be congruent. 10.The sum of the exponents of prime factors in the prime factorisation of 4004 is</x:v>
      </x:c>
      <x:c r="J103" s="60" t="str">
        <x:v>A square and a rhombus of the same area are always similar.</x:v>
      </x:c>
      <x:c r="K103" s="60" t="str">
        <x:v>Substituting the given values for “Which of the following statements is incorrect” gives A square and a rhombus of the same area are always similar..</x:v>
      </x:c>
      <x:c r="L103" s="60" t="str">
        <x:v>EGFH2</x:v>
      </x:c>
      <x:c r="M103" s="60" t="str">
        <x:v>Mathematics</x:v>
      </x:c>
      <x:c r="N103" s="60" t="str">
        <x:v>Neighbouring question or instruction text is spliced into the record; Neighbouring question text is spliced into an option.</x:v>
      </x:c>
      <x:c r="O103" s="60" t="str">
        <x:v>Correct from a reliable source, independently verify the answer, then rescreen.</x:v>
      </x:c>
    </x:row>
    <x:row r="104">
      <x:c r="A104" s="62" t="n">
        <x:v>206</x:v>
      </x:c>
      <x:c r="B104" s="60" t="str">
        <x:v>Mathematics</x:v>
      </x:c>
      <x:c r="C104" s="60" t="str">
        <x:v>Hard</x:v>
      </x:c>
      <x:c r="D104" s="60" t="str">
        <x:v>Trigonometry</x:v>
      </x:c>
      <x:c r="E104" s="60" t="str">
        <x:v>If a large circular pizza is divided into 5 equal sectors, then the central angle of each sector will be</x:v>
      </x:c>
      <x:c r="F104" s="60" t="str">
        <x:v>60</x:v>
      </x:c>
      <x:c r="G104" s="60" t="str">
        <x:v>90</x:v>
      </x:c>
      <x:c r="H104" s="60" t="str">
        <x:v>45</x:v>
      </x:c>
      <x:c r="I104" s="60" t="str">
        <x:v>72</x:v>
      </x:c>
      <x:c r="J104" s="60" t="str">
        <x:v>72</x:v>
      </x:c>
      <x:c r="K104" s="60" t="str">
        <x:v>The relevant circle measure for “If a large circular pizza is divided” is 72.</x:v>
      </x:c>
      <x:c r="L104" s="60" t="str">
        <x:v>EGFH2</x:v>
      </x:c>
      <x:c r="M104" s="60" t="str">
        <x:v>Mathematics</x:v>
      </x:c>
      <x:c r="N104" s="60" t="str">
        <x:v>Mathematical notation requires reconstruction</x:v>
      </x:c>
      <x:c r="O104" s="60" t="str">
        <x:v>Correct from a reliable source, independently verify the answer, then rescreen.</x:v>
      </x:c>
    </x:row>
    <x:row r="105">
      <x:c r="A105" s="62" t="n">
        <x:v>207</x:v>
      </x:c>
      <x:c r="B105" s="60" t="str">
        <x:v>Mathematics</x:v>
      </x:c>
      <x:c r="C105" s="60" t="str">
        <x:v>Easy</x:v>
      </x:c>
      <x:c r="D105" s="60" t="str">
        <x:v>General Mathematics</x:v>
      </x:c>
      <x:c r="E105" s="60" t="str">
        <x:v>The 9th term from the end (towards first term) of the AP</x:v>
      </x:c>
      <x:c r="F105" s="60" t="str">
        <x:v>135</x:v>
      </x:c>
      <x:c r="G105" s="60" t="str">
        <x:v>125</x:v>
      </x:c>
      <x:c r="H105" s="60" t="str">
        <x:v>115</x:v>
      </x:c>
      <x:c r="I105" s="60" t="str">
        <x:v>39</x:v>
      </x:c>
      <x:c r="J105" s="60" t="str">
        <x:v>115</x:v>
      </x:c>
      <x:c r="K105" s="60" t="str">
        <x:v>Applying the arithmetic-progression relation gives 115.</x:v>
      </x:c>
      <x:c r="L105" s="60" t="str">
        <x:v>EGFH2</x:v>
      </x:c>
      <x:c r="M105" s="60" t="str">
        <x:v>Mathematics</x:v>
      </x:c>
      <x:c r="N105" s="60" t="str">
        <x:v>Mathematical notation requires reconstruction</x:v>
      </x:c>
      <x:c r="O105" s="60" t="str">
        <x:v>Correct from a reliable source, independently verify the answer, then rescreen.</x:v>
      </x:c>
    </x:row>
    <x:row r="106">
      <x:c r="A106" s="62" t="n">
        <x:v>209</x:v>
      </x:c>
      <x:c r="B106" s="60" t="str">
        <x:v>Mathematics</x:v>
      </x:c>
      <x:c r="C106" s="60" t="str">
        <x:v>Easy</x:v>
      </x:c>
      <x:c r="D106" s="60" t="str">
        <x:v>Number Systems</x:v>
      </x:c>
      <x:c r="E106" s="60" t="str">
        <x:v>The sum of the exponents of prime factors in the prime factorisation of 4004 is</x:v>
      </x:c>
      <x:c r="F106" s="60" t="str">
        <x:v>5</x:v>
      </x:c>
      <x:c r="G106" s="60" t="str">
        <x:v>4</x:v>
      </x:c>
      <x:c r="H106" s="60" t="str">
        <x:v>3</x:v>
      </x:c>
      <x:c r="I106" s="60" t="str">
        <x:v>2</x:v>
      </x:c>
      <x:c r="J106" s="60" t="str">
        <x:v>5</x:v>
      </x:c>
      <x:c r="K106" s="60" t="str">
        <x:v>Substituting the given values for “The sum of the exponents of prime” gives 5.</x:v>
      </x:c>
      <x:c r="L106" s="60" t="str">
        <x:v>EGFH2</x:v>
      </x:c>
      <x:c r="M106" s="60" t="str">
        <x:v>Mathematics</x:v>
      </x:c>
      <x:c r="N106" s="60" t="str">
        <x:v>Mathematical notation requires reconstruction</x:v>
      </x:c>
      <x:c r="O106" s="60" t="str">
        <x:v>Correct from a reliable source, independently verify the answer, then rescreen.</x:v>
      </x:c>
    </x:row>
    <x:row r="107">
      <x:c r="A107" s="62" t="n">
        <x:v>213</x:v>
      </x:c>
      <x:c r="B107" s="60" t="str">
        <x:v>Mathematics</x:v>
      </x:c>
      <x:c r="C107" s="60" t="str">
        <x:v>Easy</x:v>
      </x:c>
      <x:c r="D107" s="60" t="str">
        <x:v>General Mathematics</x:v>
      </x:c>
      <x:c r="E107" s="60" t="str">
        <x:v>In the given figure, if DE | | BC, AD = 1·5 cm, DB = 3 cm and EC = 2 cm, the length of AC is</x:v>
      </x:c>
      <x:c r="F107" s="60" t="str">
        <x:v>1·5 cm</x:v>
      </x:c>
      <x:c r="G107" s="60" t="str">
        <x:v>3 cm</x:v>
      </x:c>
      <x:c r="H107" s="60" t="str">
        <x:v>3·5 cm</x:v>
      </x:c>
      <x:c r="I107" s="60" t="str">
        <x:v>4·5 cm</x:v>
      </x:c>
      <x:c r="J107" s="60" t="str">
        <x:v>3 cm</x:v>
      </x:c>
      <x:c r="K107" s="60" t="str">
        <x:v>Substituting the given values for “In the given figure if DE BC” gives 3 cm.</x:v>
      </x:c>
      <x:c r="L107" s="60" t="str">
        <x:v>EGFH2</x:v>
      </x:c>
      <x:c r="M107" s="60" t="str">
        <x:v>Mathematics</x:v>
      </x:c>
      <x:c r="N107" s="60" t="str">
        <x:v>Visual or diagram required but unavailable</x:v>
      </x:c>
      <x:c r="O107" s="60" t="str">
        <x:v>Exclude until a visual is created or replace with a self-contained question.</x:v>
      </x:c>
    </x:row>
    <x:row r="108">
      <x:c r="A108" s="62" t="n">
        <x:v>215</x:v>
      </x:c>
      <x:c r="B108" s="60" t="str">
        <x:v>Mathematics</x:v>
      </x:c>
      <x:c r="C108" s="60" t="str">
        <x:v>Easy</x:v>
      </x:c>
      <x:c r="D108" s="60" t="str">
        <x:v>General Mathematics</x:v>
      </x:c>
      <x:c r="E108" s="60" t="str">
        <x:v>The number 2n, where n is a natural number, cannot end with the digit</x:v>
      </x:c>
      <x:c r="F108" s="60" t="str">
        <x:v>4</x:v>
      </x:c>
      <x:c r="G108" s="60" t="str">
        <x:v>6</x:v>
      </x:c>
      <x:c r="H108" s="60" t="str">
        <x:v>2</x:v>
      </x:c>
      <x:c r="I108" s="60" t="str">
        <x:v>0</x:v>
      </x:c>
      <x:c r="J108" s="60" t="str">
        <x:v>0</x:v>
      </x:c>
      <x:c r="K108" s="60" t="str">
        <x:v>Substituting the given values for “The number 2n where n is a” gives 0.</x:v>
      </x:c>
      <x:c r="L108" s="60" t="str">
        <x:v>EGFH2</x:v>
      </x:c>
      <x:c r="M108" s="60" t="str">
        <x:v>Mathematics</x:v>
      </x:c>
      <x:c r="N108" s="60" t="str">
        <x:v>Mathematical notation requires reconstruction</x:v>
      </x:c>
      <x:c r="O108" s="60" t="str">
        <x:v>Correct from a reliable source, independently verify the answer, then rescreen.</x:v>
      </x:c>
    </x:row>
    <x:row r="109">
      <x:c r="A109" s="62" t="n">
        <x:v>217</x:v>
      </x:c>
      <x:c r="B109" s="60" t="str">
        <x:v>Mathematics</x:v>
      </x:c>
      <x:c r="C109" s="60" t="str">
        <x:v>Medium</x:v>
      </x:c>
      <x:c r="D109" s="60" t="str">
        <x:v>Coordinate Geometry</x:v>
      </x:c>
      <x:c r="E109" s="60" t="str">
        <x:v>The mid-point of the line segment joining points (1, 3) and (1, 3) lies</x:v>
      </x:c>
      <x:c r="F109" s="60" t="str">
        <x:v>at the origin</x:v>
      </x:c>
      <x:c r="G109" s="60" t="str">
        <x:v>in the second quadrant</x:v>
      </x:c>
      <x:c r="H109" s="60" t="str">
        <x:v>on x-axis</x:v>
      </x:c>
      <x:c r="I109" s="60" t="str">
        <x:v>on y-axis</x:v>
      </x:c>
      <x:c r="J109" s="60" t="str">
        <x:v>on x-axis</x:v>
      </x:c>
      <x:c r="K109" s="60" t="str">
        <x:v>The coordinate formula for “The mid point of the line segment” gives on x-axis.</x:v>
      </x:c>
      <x:c r="L109" s="60" t="str">
        <x:v>EGFH2</x:v>
      </x:c>
      <x:c r="M109" s="60" t="str">
        <x:v>Mathematics</x:v>
      </x:c>
      <x:c r="N109" s="60" t="str">
        <x:v>Displayed points and stored answer are inconsistent.</x:v>
      </x:c>
      <x:c r="O109" s="60" t="str">
        <x:v>Correct from a reliable source, independently verify the answer, then rescreen.</x:v>
      </x:c>
    </x:row>
    <x:row r="110">
      <x:c r="A110" s="62" t="n">
        <x:v>218</x:v>
      </x:c>
      <x:c r="B110" s="60" t="str">
        <x:v>Mathematics</x:v>
      </x:c>
      <x:c r="C110" s="60" t="str">
        <x:v>Easy</x:v>
      </x:c>
      <x:c r="D110" s="60" t="str">
        <x:v>General Mathematics</x:v>
      </x:c>
      <x:c r="E110" s="60" t="str">
        <x:v>The number 3n, where n is a natural number cannot end with the digit</x:v>
      </x:c>
      <x:c r="F110" s="60" t="str">
        <x:v>1</x:v>
      </x:c>
      <x:c r="G110" s="60" t="str">
        <x:v>3</x:v>
      </x:c>
      <x:c r="H110" s="60" t="str">
        <x:v>5</x:v>
      </x:c>
      <x:c r="I110" s="60" t="str">
        <x:v>7</x:v>
      </x:c>
      <x:c r="J110" s="60" t="str">
        <x:v>5</x:v>
      </x:c>
      <x:c r="K110" s="60" t="str">
        <x:v>Substituting the given values for “The number 3n where n is a” gives 5.</x:v>
      </x:c>
      <x:c r="L110" s="60" t="str">
        <x:v>EGFH2</x:v>
      </x:c>
      <x:c r="M110" s="60" t="str">
        <x:v>Mathematics</x:v>
      </x:c>
      <x:c r="N110" s="60" t="str">
        <x:v>Mathematical notation requires reconstruction</x:v>
      </x:c>
      <x:c r="O110" s="60" t="str">
        <x:v>Correct from a reliable source, independently verify the answer, then rescreen.</x:v>
      </x:c>
    </x:row>
    <x:row r="111">
      <x:c r="A111" s="62" t="n">
        <x:v>220</x:v>
      </x:c>
      <x:c r="B111" s="60" t="str">
        <x:v>Mathematics</x:v>
      </x:c>
      <x:c r="C111" s="60" t="str">
        <x:v>Easy</x:v>
      </x:c>
      <x:c r="D111" s="60" t="str">
        <x:v>General Mathematics</x:v>
      </x:c>
      <x:c r="E111" s="60" t="str">
        <x:v>If the number an, where n is a natural number, always ends with digit a</x:v>
      </x:c>
      <x:c r="F111" s="60" t="str">
        <x:v>2</x:v>
      </x:c>
      <x:c r="G111" s="60" t="str">
        <x:v>4</x:v>
      </x:c>
      <x:c r="H111" s="60" t="str">
        <x:v>6</x:v>
      </x:c>
      <x:c r="I111" s="60" t="str">
        <x:v>8</x:v>
      </x:c>
      <x:c r="J111" s="60" t="str">
        <x:v>6</x:v>
      </x:c>
      <x:c r="K111" s="60" t="str">
        <x:v>Substituting the given values for “If the number an where n is” gives 6.</x:v>
      </x:c>
      <x:c r="L111" s="60" t="str">
        <x:v>EGFH2</x:v>
      </x:c>
      <x:c r="M111" s="60" t="str">
        <x:v>Mathematics</x:v>
      </x:c>
      <x:c r="N111" s="60" t="str">
        <x:v>Mathematical notation requires reconstruction</x:v>
      </x:c>
      <x:c r="O111" s="60" t="str">
        <x:v>Correct from a reliable source, independently verify the answer, then rescreen.</x:v>
      </x:c>
    </x:row>
    <x:row r="112">
      <x:c r="A112" s="62" t="n">
        <x:v>221</x:v>
      </x:c>
      <x:c r="B112" s="60" t="str">
        <x:v>Mathematics</x:v>
      </x:c>
      <x:c r="C112" s="60" t="str">
        <x:v>Easy</x:v>
      </x:c>
      <x:c r="D112" s="60" t="str">
        <x:v>General Mathematics</x:v>
      </x:c>
      <x:c r="E112" s="60" t="str">
        <x:v>In the given figure, the shaded region represents</x:v>
      </x:c>
      <x:c r="F112" s="60" t="str">
        <x:v>minor sector</x:v>
      </x:c>
      <x:c r="G112" s="60" t="str">
        <x:v>major sector</x:v>
      </x:c>
      <x:c r="H112" s="60" t="str">
        <x:v>minor segment</x:v>
      </x:c>
      <x:c r="I112" s="60" t="str">
        <x:v>major segment</x:v>
      </x:c>
      <x:c r="J112" s="60" t="str">
        <x:v>minor segment</x:v>
      </x:c>
      <x:c r="K112" s="60" t="str">
        <x:v>Substituting the given values for “In the given figure the shaded region” gives minor segment.</x:v>
      </x:c>
      <x:c r="L112" s="60" t="str">
        <x:v>EGFH2</x:v>
      </x:c>
      <x:c r="M112" s="60" t="str">
        <x:v>Mathematics</x:v>
      </x:c>
      <x:c r="N112" s="60" t="str">
        <x:v>Visual or diagram required but unavailable</x:v>
      </x:c>
      <x:c r="O112" s="60" t="str">
        <x:v>Exclude until a visual is created or replace with a self-contained question.</x:v>
      </x:c>
    </x:row>
    <x:row r="113">
      <x:c r="A113" s="62" t="n">
        <x:v>224</x:v>
      </x:c>
      <x:c r="B113" s="60" t="str">
        <x:v>Mathematics</x:v>
      </x:c>
      <x:c r="C113" s="60" t="str">
        <x:v>Hard</x:v>
      </x:c>
      <x:c r="D113" s="60" t="str">
        <x:v>Trigonometry</x:v>
      </x:c>
      <x:c r="E113" s="60" t="str">
        <x:v>If the sum of first m terms of an AP is 2m2 + 3m, then its second term is</x:v>
      </x:c>
      <x:c r="F113" s="60" t="str">
        <x:v>10</x:v>
      </x:c>
      <x:c r="G113" s="60" t="str">
        <x:v>9</x:v>
      </x:c>
      <x:c r="H113" s="60" t="str">
        <x:v>12</x:v>
      </x:c>
      <x:c r="I113" s="60" t="str">
        <x:v>4</x:v>
      </x:c>
      <x:c r="J113" s="60" t="str">
        <x:v>9</x:v>
      </x:c>
      <x:c r="K113" s="60" t="str">
        <x:v>Applying the arithmetic-progression relation gives 9.</x:v>
      </x:c>
      <x:c r="L113" s="60" t="str">
        <x:v>GE1FH</x:v>
      </x:c>
      <x:c r="M113" s="60" t="str">
        <x:v>Mathematics</x:v>
      </x:c>
      <x:c r="N113" s="60" t="str">
        <x:v>Mathematical notation requires reconstruction</x:v>
      </x:c>
      <x:c r="O113" s="60" t="str">
        <x:v>Correct from a reliable source, independently verify the answer, then rescreen.</x:v>
      </x:c>
    </x:row>
    <x:row r="114">
      <x:c r="A114" s="62" t="n">
        <x:v>226</x:v>
      </x:c>
      <x:c r="B114" s="60" t="str">
        <x:v>Mathematics</x:v>
      </x:c>
      <x:c r="C114" s="60" t="str">
        <x:v>Hard</x:v>
      </x:c>
      <x:c r="D114" s="60" t="str">
        <x:v>Trigonometry</x:v>
      </x:c>
      <x:c r="E114" s="60" t="str">
        <x:v>A ladder 14 m long leans against a wall. If the foot of the ladder is 7 m from the wall, then the angle of elevation of the top of the wall is</x:v>
      </x:c>
      <x:c r="F114" s="60" t="str">
        <x:v>15</x:v>
      </x:c>
      <x:c r="G114" s="60" t="str">
        <x:v>30</x:v>
      </x:c>
      <x:c r="H114" s="60" t="str">
        <x:v>45</x:v>
      </x:c>
      <x:c r="I114" s="60" t="str">
        <x:v>60</x:v>
      </x:c>
      <x:c r="J114" s="60" t="str">
        <x:v>60</x:v>
      </x:c>
      <x:c r="K114" s="60" t="str">
        <x:v>Substituting the given values for “A ladder 14 m long leans against” gives 60.</x:v>
      </x:c>
      <x:c r="L114" s="60" t="str">
        <x:v>GE1FH</x:v>
      </x:c>
      <x:c r="M114" s="60" t="str">
        <x:v>Mathematics</x:v>
      </x:c>
      <x:c r="N114" s="60" t="str">
        <x:v>Mathematical notation requires reconstruction</x:v>
      </x:c>
      <x:c r="O114" s="60" t="str">
        <x:v>Correct from a reliable source, independently verify the answer, then rescreen.</x:v>
      </x:c>
    </x:row>
    <x:row r="115">
      <x:c r="A115" s="62" t="n">
        <x:v>228</x:v>
      </x:c>
      <x:c r="B115" s="60" t="str">
        <x:v>Mathematics</x:v>
      </x:c>
      <x:c r="C115" s="60" t="str">
        <x:v>Hard</x:v>
      </x:c>
      <x:c r="D115" s="60" t="str">
        <x:v>Circle Theorems</x:v>
      </x:c>
      <x:c r="E115" s="60" t="str">
        <x:v>If the length of a chord of a circle is equal to its radius, then the angle subtended by chord at the centre is</x:v>
      </x:c>
      <x:c r="F115" s="60" t="str">
        <x:v>60</x:v>
      </x:c>
      <x:c r="G115" s="60" t="str">
        <x:v>30</x:v>
      </x:c>
      <x:c r="H115" s="60" t="str">
        <x:v>120</x:v>
      </x:c>
      <x:c r="I115" s="60" t="str">
        <x:v>90</x:v>
      </x:c>
      <x:c r="J115" s="60" t="str">
        <x:v>60</x:v>
      </x:c>
      <x:c r="K115" s="60" t="str">
        <x:v>The relevant circle measure for “If the length of a chord of” is 60.</x:v>
      </x:c>
      <x:c r="L115" s="60" t="str">
        <x:v>GE1FH</x:v>
      </x:c>
      <x:c r="M115" s="60" t="str">
        <x:v>Mathematics</x:v>
      </x:c>
      <x:c r="N115" s="60" t="str">
        <x:v>Mathematical notation requires reconstruction</x:v>
      </x:c>
      <x:c r="O115" s="60" t="str">
        <x:v>Correct from a reliable source, independently verify the answer, then rescreen.</x:v>
      </x:c>
    </x:row>
    <x:row r="116">
      <x:c r="A116" s="62" t="n">
        <x:v>230</x:v>
      </x:c>
      <x:c r="B116" s="60" t="str">
        <x:v>Mathematics</x:v>
      </x:c>
      <x:c r="C116" s="60" t="str">
        <x:v>Easy</x:v>
      </x:c>
      <x:c r="D116" s="60" t="str">
        <x:v>General Mathematics</x:v>
      </x:c>
      <x:c r="E116" s="60" t="str">
        <x:v>The greatest number which divides 70 and 125, leaving remainders 5 and 8 respectively, is</x:v>
      </x:c>
      <x:c r="F116" s="60" t="str">
        <x:v>13</x:v>
      </x:c>
      <x:c r="G116" s="60" t="str">
        <x:v>65</x:v>
      </x:c>
      <x:c r="H116" s="60" t="str">
        <x:v>875</x:v>
      </x:c>
      <x:c r="I116" s="60" t="str">
        <x:v>1750</x:v>
      </x:c>
      <x:c r="J116" s="60" t="str">
        <x:v>13</x:v>
      </x:c>
      <x:c r="K116" s="60" t="str">
        <x:v>Substituting the given values for “The greatest number which divides 70 and” gives 13.</x:v>
      </x:c>
      <x:c r="L116" s="60" t="str">
        <x:v>GE1FH</x:v>
      </x:c>
      <x:c r="M116" s="60" t="str">
        <x:v>Mathematics</x:v>
      </x:c>
      <x:c r="N116" s="60" t="str">
        <x:v>Mathematical notation requires reconstruction</x:v>
      </x:c>
      <x:c r="O116" s="60" t="str">
        <x:v>Correct from a reliable source, independently verify the answer, then rescreen.</x:v>
      </x:c>
    </x:row>
    <x:row r="117">
      <x:c r="A117" s="62" t="n">
        <x:v>232</x:v>
      </x:c>
      <x:c r="B117" s="60" t="str">
        <x:v>Mathematics</x:v>
      </x:c>
      <x:c r="C117" s="60" t="str">
        <x:v>Easy</x:v>
      </x:c>
      <x:c r="D117" s="60" t="str">
        <x:v>Sequences</x:v>
      </x:c>
      <x:c r="E117" s="60" t="str">
        <x:v>Three numbers in an arithmetic progression have a sum of 30. What is the middle term?</x:v>
      </x:c>
      <x:c r="F117" s="60" t="str">
        <x:v>4</x:v>
      </x:c>
      <x:c r="G117" s="60" t="str">
        <x:v>10</x:v>
      </x:c>
      <x:c r="H117" s="60" t="str">
        <x:v>16</x:v>
      </x:c>
      <x:c r="I117" s="60" t="str">
        <x:v>8</x:v>
      </x:c>
      <x:c r="J117" s="60" t="str">
        <x:v>10</x:v>
      </x:c>
      <x:c r="K117" s="60" t="str">
        <x:v>Applying the arithmetic-progression relation gives 10.</x:v>
      </x:c>
      <x:c r="L117" s="60" t="str">
        <x:v>GE1FH</x:v>
      </x:c>
      <x:c r="M117" s="60" t="str">
        <x:v>Mathematics</x:v>
      </x:c>
      <x:c r="N117" s="60" t="str">
        <x:v>Mathematical notation requires reconstruction</x:v>
      </x:c>
      <x:c r="O117" s="60" t="str">
        <x:v>Correct from a reliable source, independently verify the answer, then rescreen.</x:v>
      </x:c>
    </x:row>
    <x:row r="118">
      <x:c r="A118" s="62" t="n">
        <x:v>233</x:v>
      </x:c>
      <x:c r="B118" s="60" t="str">
        <x:v>Mathematics</x:v>
      </x:c>
      <x:c r="C118" s="60" t="str">
        <x:v>Hard</x:v>
      </x:c>
      <x:c r="D118" s="60" t="str">
        <x:v>Circle Theorems</x:v>
      </x:c>
      <x:c r="E118" s="60" t="str">
        <x:v>A piece of wire 20 cm long is bent into the form of an arc of a circle of radius cm. The angle subtended by the arc at the centre of the circle is</x:v>
      </x:c>
      <x:c r="F118" s="60" t="str">
        <x:v>30</x:v>
      </x:c>
      <x:c r="G118" s="60" t="str">
        <x:v>60</x:v>
      </x:c>
      <x:c r="H118" s="60" t="str">
        <x:v>90</x:v>
      </x:c>
      <x:c r="I118" s="60" t="str">
        <x:v>50</x:v>
      </x:c>
      <x:c r="J118" s="60" t="str">
        <x:v>60</x:v>
      </x:c>
      <x:c r="K118" s="60" t="str">
        <x:v>The relevant circle measure for “A piece of wire 20 cm long” is 60.</x:v>
      </x:c>
      <x:c r="L118" s="60" t="str">
        <x:v>GE1FH</x:v>
      </x:c>
      <x:c r="M118" s="60" t="str">
        <x:v>Mathematics</x:v>
      </x:c>
      <x:c r="N118" s="60" t="str">
        <x:v>Mathematical notation requires reconstruction</x:v>
      </x:c>
      <x:c r="O118" s="60" t="str">
        <x:v>Correct from a reliable source, independently verify the answer, then rescreen.</x:v>
      </x:c>
    </x:row>
    <x:row r="119">
      <x:c r="A119" s="62" t="n">
        <x:v>236</x:v>
      </x:c>
      <x:c r="B119" s="60" t="str">
        <x:v>Mathematics</x:v>
      </x:c>
      <x:c r="C119" s="60" t="str">
        <x:v>Easy</x:v>
      </x:c>
      <x:c r="D119" s="60" t="str">
        <x:v>Number Systems</x:v>
      </x:c>
      <x:c r="E119" s="60" t="str">
        <x:v>If HCF(98, 28) = m and LCM(98, 28) = n, then the value of n − 7m is</x:v>
      </x:c>
      <x:c r="F119" s="60" t="str">
        <x:v>0</x:v>
      </x:c>
      <x:c r="G119" s="60" t="str">
        <x:v>28</x:v>
      </x:c>
      <x:c r="H119" s="60" t="str">
        <x:v>98</x:v>
      </x:c>
      <x:c r="I119" s="60" t="str">
        <x:v>198</x:v>
      </x:c>
      <x:c r="J119" s="60" t="str">
        <x:v>98</x:v>
      </x:c>
      <x:c r="K119" s="60" t="str">
        <x:v>Prime factorisation of the stated numbers gives 98.</x:v>
      </x:c>
      <x:c r="L119" s="60" t="str">
        <x:v>GE1FH</x:v>
      </x:c>
      <x:c r="M119" s="60" t="str">
        <x:v>Mathematics</x:v>
      </x:c>
      <x:c r="N119" s="60" t="str">
        <x:v>Mathematical notation requires reconstruction</x:v>
      </x:c>
      <x:c r="O119" s="60" t="str">
        <x:v>Correct from a reliable source, independently verify the answer, then rescreen.</x:v>
      </x:c>
    </x:row>
    <x:row r="120">
      <x:c r="A120" s="62" t="n">
        <x:v>237</x:v>
      </x:c>
      <x:c r="B120" s="60" t="str">
        <x:v>Mathematics</x:v>
      </x:c>
      <x:c r="C120" s="60" t="str">
        <x:v>Hard</x:v>
      </x:c>
      <x:c r="D120" s="60" t="str">
        <x:v>Trigonometry</x:v>
      </x:c>
      <x:c r="E120" s="60" t="str">
        <x:v>If is an acute angle and 7 + 4 sin = 9, then the value of is</x:v>
      </x:c>
      <x:c r="F120" s="60" t="str">
        <x:v>90</x:v>
      </x:c>
      <x:c r="G120" s="60" t="str">
        <x:v>30</x:v>
      </x:c>
      <x:c r="H120" s="60" t="str">
        <x:v>45</x:v>
      </x:c>
      <x:c r="I120" s="60" t="str">
        <x:v>60</x:v>
      </x:c>
      <x:c r="J120" s="60" t="str">
        <x:v>30</x:v>
      </x:c>
      <x:c r="K120" s="60" t="str">
        <x:v>Using the standard trigonometric identity gives 30.</x:v>
      </x:c>
      <x:c r="L120" s="60" t="str">
        <x:v>GE1FH</x:v>
      </x:c>
      <x:c r="M120" s="60" t="str">
        <x:v>Mathematics</x:v>
      </x:c>
      <x:c r="N120" s="60" t="str">
        <x:v>Mathematical notation requires reconstruction; Trigonometric variable and symbols are missing.</x:v>
      </x:c>
      <x:c r="O120" s="60" t="str">
        <x:v>Correct from a reliable source, independently verify the answer, then rescreen.</x:v>
      </x:c>
    </x:row>
    <x:row r="121">
      <x:c r="A121" s="62" t="n">
        <x:v>238</x:v>
      </x:c>
      <x:c r="B121" s="60" t="str">
        <x:v>Mathematics</x:v>
      </x:c>
      <x:c r="C121" s="60" t="str">
        <x:v>Hard</x:v>
      </x:c>
      <x:c r="D121" s="60" t="str">
        <x:v>Trigonometry</x:v>
      </x:c>
      <x:c r="E121" s="60" t="str">
        <x:v>In the given figure, PA is a tangent from an external point P to a circle with centre O. If POB = 115, then APO is equal to</x:v>
      </x:c>
      <x:c r="F121" s="60" t="str">
        <x:v>25</x:v>
      </x:c>
      <x:c r="G121" s="60" t="str">
        <x:v>65</x:v>
      </x:c>
      <x:c r="H121" s="60" t="str">
        <x:v>90</x:v>
      </x:c>
      <x:c r="I121" s="60" t="str">
        <x:v>35</x:v>
      </x:c>
      <x:c r="J121" s="60" t="str">
        <x:v>25</x:v>
      </x:c>
      <x:c r="K121" s="60" t="str">
        <x:v>The relevant circle measure for “In the given figure PA is a” is 25.</x:v>
      </x:c>
      <x:c r="L121" s="60" t="str">
        <x:v>GE1FH</x:v>
      </x:c>
      <x:c r="M121" s="60" t="str">
        <x:v>Mathematics</x:v>
      </x:c>
      <x:c r="N121" s="60" t="str">
        <x:v>Visual or diagram required but unavailable; Mathematical notation requires reconstruction</x:v>
      </x:c>
      <x:c r="O121" s="60" t="str">
        <x:v>Exclude until a visual is created or replace with a self-contained question.</x:v>
      </x:c>
    </x:row>
    <x:row r="122">
      <x:c r="A122" s="62" t="n">
        <x:v>240</x:v>
      </x:c>
      <x:c r="B122" s="60" t="str">
        <x:v>Mathematics</x:v>
      </x:c>
      <x:c r="C122" s="60" t="str">
        <x:v>Easy</x:v>
      </x:c>
      <x:c r="D122" s="60" t="str">
        <x:v>General Mathematics</x:v>
      </x:c>
      <x:c r="E122" s="60" t="str">
        <x:v>The 11th and 13th term of an AP are 39 and 45, respectively. What is the common difference of the AP?</x:v>
      </x:c>
      <x:c r="F122" s="60" t="str">
        <x:v>42</x:v>
      </x:c>
      <x:c r="G122" s="60" t="str">
        <x:v>21</x:v>
      </x:c>
      <x:c r="H122" s="60" t="str">
        <x:v>6</x:v>
      </x:c>
      <x:c r="I122" s="60" t="str">
        <x:v>3</x:v>
      </x:c>
      <x:c r="J122" s="60" t="str">
        <x:v>3</x:v>
      </x:c>
      <x:c r="K122" s="60" t="str">
        <x:v>Applying the arithmetic-progression relation gives 3.</x:v>
      </x:c>
      <x:c r="L122" s="60" t="str">
        <x:v>GE1FH</x:v>
      </x:c>
      <x:c r="M122" s="60" t="str">
        <x:v>Mathematics</x:v>
      </x:c>
      <x:c r="N122" s="60" t="str">
        <x:v>Mathematical notation requires reconstruction</x:v>
      </x:c>
      <x:c r="O122" s="60" t="str">
        <x:v>Correct from a reliable source, independently verify the answer, then rescreen.</x:v>
      </x:c>
    </x:row>
    <x:row r="123">
      <x:c r="A123" s="62" t="n">
        <x:v>242</x:v>
      </x:c>
      <x:c r="B123" s="60" t="str">
        <x:v>Mathematics</x:v>
      </x:c>
      <x:c r="C123" s="60" t="str">
        <x:v>Hard</x:v>
      </x:c>
      <x:c r="D123" s="60" t="str">
        <x:v>Quadratic Equations &amp; Polynomials</x:v>
      </x:c>
      <x:c r="E123" s="60" t="str">
        <x:v>Two polynomials are shown in the graph below. The number of distinct zeroes of both the polynomials is</x:v>
      </x:c>
      <x:c r="F123" s="60" t="str">
        <x:v>3</x:v>
      </x:c>
      <x:c r="G123" s="60" t="str">
        <x:v>5</x:v>
      </x:c>
      <x:c r="H123" s="60" t="str">
        <x:v>2</x:v>
      </x:c>
      <x:c r="I123" s="60" t="str">
        <x:v>4</x:v>
      </x:c>
      <x:c r="J123" s="60" t="str">
        <x:v>2</x:v>
      </x:c>
      <x:c r="K123" s="60" t="str">
        <x:v>Substituting the given values for “Two polynomials are shown in the graph” gives 2.</x:v>
      </x:c>
      <x:c r="L123" s="60" t="str">
        <x:v>GE1FH</x:v>
      </x:c>
      <x:c r="M123" s="60" t="str">
        <x:v>Mathematics</x:v>
      </x:c>
      <x:c r="N123" s="60" t="str">
        <x:v>Visual or diagram required but unavailable; Mathematical notation requires reconstruction; Graph required but not present.</x:v>
      </x:c>
      <x:c r="O123" s="60" t="str">
        <x:v>Exclude until a visual is created or replace with a self-contained question.</x:v>
      </x:c>
    </x:row>
    <x:row r="124">
      <x:c r="A124" s="62" t="n">
        <x:v>248</x:v>
      </x:c>
      <x:c r="B124" s="60" t="str">
        <x:v>Mathematics</x:v>
      </x:c>
      <x:c r="C124" s="60" t="str">
        <x:v>Hard</x:v>
      </x:c>
      <x:c r="D124" s="60" t="str">
        <x:v>Quadratic Equations &amp; Polynomials</x:v>
      </x:c>
      <x:c r="E124" s="60" t="str">
        <x:v>The discriminant of the quadratic equation 2x2 3x 5 = 0 is</x:v>
      </x:c>
      <x:c r="F124" s="60" t="str">
        <x:v>31</x:v>
      </x:c>
      <x:c r="G124" s="60" t="str">
        <x:v>49</x:v>
      </x:c>
      <x:c r="H124" s="60" t="str">
        <x:v>7</x:v>
      </x:c>
      <x:c r="I124" s="60" t="str">
        <x:v>9. The equation x + = 3 (x 0) is expressed as a quadratic equation in the form of ax2 + bx + c = 0. The value of a b + c is</x:v>
      </x:c>
      <x:c r="J124" s="60" t="str">
        <x:v>49</x:v>
      </x:c>
      <x:c r="K124" s="60" t="str">
        <x:v>Substituting the given values for “The discriminant of the quadratic equation 2x2” gives 49.</x:v>
      </x:c>
      <x:c r="L124" s="60" t="str">
        <x:v>GE1FH</x:v>
      </x:c>
      <x:c r="M124" s="60" t="str">
        <x:v>Mathematics</x:v>
      </x:c>
      <x:c r="N124" s="60" t="str">
        <x:v>Neighbouring question or instruction text is spliced into the record; Neighbouring question text is spliced into an option.</x:v>
      </x:c>
      <x:c r="O124" s="60" t="str">
        <x:v>Correct from a reliable source, independently verify the answer, then rescreen.</x:v>
      </x:c>
    </x:row>
    <x:row r="125">
      <x:c r="A125" s="62" t="n">
        <x:v>249</x:v>
      </x:c>
      <x:c r="B125" s="60" t="str">
        <x:v>Mathematics</x:v>
      </x:c>
      <x:c r="C125" s="60" t="str">
        <x:v>Medium</x:v>
      </x:c>
      <x:c r="D125" s="60" t="str">
        <x:v>Probability</x:v>
      </x:c>
      <x:c r="E125" s="60" t="str">
        <x:v>The number of red balls in a bag is 10 more than the number of black 3 balls. If the probability of drawing a red ball at random from this bag is — 5' then the total number of balls in the bag is : 1 1 1 1</x:v>
      </x:c>
      <x:c r="F125" s="60" t="str">
        <x:v>50</x:v>
      </x:c>
      <x:c r="G125" s="60" t="str">
        <x:v>60</x:v>
      </x:c>
      <x:c r="H125" s="60" t="str">
        <x:v>80</x:v>
      </x:c>
      <x:c r="I125" s="60" t="str">
        <x:v>40</x:v>
      </x:c>
      <x:c r="J125" s="60" t="str">
        <x:v>50</x:v>
      </x:c>
      <x:c r="K125" s="60" t="str">
        <x:v>Favourable outcomes divided by all equally likely outcomes gives 50.</x:v>
      </x:c>
      <x:c r="L125" s="60" t="str">
        <x:v>H4EFG</x:v>
      </x:c>
      <x:c r="M125" s="60" t="str">
        <x:v>Mathematics</x:v>
      </x:c>
      <x:c r="N125" s="60" t="str">
        <x:v>Mathematical notation requires reconstruction; Probability notation is severely corrupted.</x:v>
      </x:c>
      <x:c r="O125" s="60" t="str">
        <x:v>Correct from a reliable source, independently verify the answer, then rescreen.</x:v>
      </x:c>
    </x:row>
    <x:row r="126">
      <x:c r="A126" s="62" t="n">
        <x:v>250</x:v>
      </x:c>
      <x:c r="B126" s="60" t="str">
        <x:v>Mathematics</x:v>
      </x:c>
      <x:c r="C126" s="60" t="str">
        <x:v>Hard</x:v>
      </x:c>
      <x:c r="D126" s="60" t="str">
        <x:v>Circle Theorems</x:v>
      </x:c>
      <x:c r="E126" s="60" t="str">
        <x:v>In the adjoining figure, AB is the chord of larger circle which touches the smaller circle at P. If length of AB diameter of inner circle 2 r, then the diameter of larger circle is : O P 1 B On the top face of the wooden cube of side 7 cm, hemispherical depressions of radius 0.35 cm are to be formed by taking out the wood. The maximum number of depressions that can be formed is</x:v>
      </x:c>
      <x:c r="F126" s="60" t="str">
        <x:v>400</x:v>
      </x:c>
      <x:c r="G126" s="60" t="str">
        <x:v>100</x:v>
      </x:c>
      <x:c r="H126" s="60" t="str">
        <x:v>20</x:v>
      </x:c>
      <x:c r="I126" s="60" t="str">
        <x:v>10 The cumulative frequency for calculating median is obtained by adding the frequencies of all the</x:v>
      </x:c>
      <x:c r="J126" s="60" t="str">
        <x:v>10 The cumulative frequency for calculating median is obtained by adding the frequencies of all the</x:v>
      </x:c>
      <x:c r="K126" s="60" t="str">
        <x:v>The relevant circle measure for “In the adjoining figure AB is the” is 10 The cumulative frequency for calculating median is obtained by adding the frequencies of all the.</x:v>
      </x:c>
      <x:c r="L126" s="60" t="str">
        <x:v>H4EFG</x:v>
      </x:c>
      <x:c r="M126" s="60" t="str">
        <x:v>Mathematics</x:v>
      </x:c>
      <x:c r="N126" s="60" t="str">
        <x:v>Visual or diagram required but unavailable; Neighbouring question or instruction text is spliced into the record; Multiple questions are merged into one record.</x:v>
      </x:c>
      <x:c r="O126" s="60" t="str">
        <x:v>Exclude until a visual is created or replace with a self-contained question.</x:v>
      </x:c>
    </x:row>
    <x:row r="127">
      <x:c r="A127" s="62" t="n">
        <x:v>252</x:v>
      </x:c>
      <x:c r="B127" s="60" t="str">
        <x:v>Mathematics</x:v>
      </x:c>
      <x:c r="C127" s="60" t="str">
        <x:v>Easy</x:v>
      </x:c>
      <x:c r="D127" s="60" t="str">
        <x:v>Number Systems</x:v>
      </x:c>
      <x:c r="E127" s="60" t="str">
        <x:v>The HCF of 960 and 432 is</x:v>
      </x:c>
      <x:c r="F127" s="60" t="str">
        <x:v>48</x:v>
      </x:c>
      <x:c r="G127" s="60" t="str">
        <x:v>54</x:v>
      </x:c>
      <x:c r="H127" s="60" t="str">
        <x:v>72</x:v>
      </x:c>
      <x:c r="I127" s="60" t="str">
        <x:v>36</x:v>
      </x:c>
      <x:c r="J127" s="60" t="str">
        <x:v>48</x:v>
      </x:c>
      <x:c r="K127" s="60" t="str">
        <x:v>Prime factorisation of the stated numbers gives 48.</x:v>
      </x:c>
      <x:c r="L127" s="60" t="str">
        <x:v>NL1KM</x:v>
      </x:c>
      <x:c r="M127" s="60" t="str">
        <x:v>Mathematics</x:v>
      </x:c>
      <x:c r="N127" s="60" t="str">
        <x:v>Mathematical notation requires reconstruction</x:v>
      </x:c>
      <x:c r="O127" s="60" t="str">
        <x:v>Correct from a reliable source, independently verify the answer, then rescreen.</x:v>
      </x:c>
    </x:row>
    <x:row r="128">
      <x:c r="A128" s="62" t="n">
        <x:v>254</x:v>
      </x:c>
      <x:c r="B128" s="60" t="str">
        <x:v>Mathematics</x:v>
      </x:c>
      <x:c r="C128" s="60" t="str">
        <x:v>Easy</x:v>
      </x:c>
      <x:c r="D128" s="60" t="str">
        <x:v>Number Systems</x:v>
      </x:c>
      <x:c r="E128" s="60" t="str">
        <x:v>(HCF × LCM) for the numbers 70 and 40 is:</x:v>
      </x:c>
      <x:c r="F128" s="60" t="str">
        <x:v>10</x:v>
      </x:c>
      <x:c r="G128" s="60" t="str">
        <x:v>280</x:v>
      </x:c>
      <x:c r="H128" s="60" t="str">
        <x:v>2800</x:v>
      </x:c>
      <x:c r="I128" s="60" t="str">
        <x:v>70</x:v>
      </x:c>
      <x:c r="J128" s="60" t="str">
        <x:v>2800</x:v>
      </x:c>
      <x:c r="K128" s="60" t="str">
        <x:v>Prime factorisation of the stated numbers gives 2800.</x:v>
      </x:c>
      <x:c r="L128" s="60" t="str">
        <x:v>WX1YZ/1</x:v>
      </x:c>
      <x:c r="M128" s="60" t="str">
        <x:v>Mathematics</x:v>
      </x:c>
      <x:c r="N128" s="60" t="str">
        <x:v>Mathematical notation requires reconstruction</x:v>
      </x:c>
      <x:c r="O128" s="60" t="str">
        <x:v>Correct from a reliable source, independently verify the answer, then rescreen.</x:v>
      </x:c>
    </x:row>
    <x:row r="129">
      <x:c r="A129" s="62" t="n">
        <x:v>255</x:v>
      </x:c>
      <x:c r="B129" s="60" t="str">
        <x:v>Mathematics</x:v>
      </x:c>
      <x:c r="C129" s="60" t="str">
        <x:v>Easy</x:v>
      </x:c>
      <x:c r="D129" s="60" t="str">
        <x:v>Probability</x:v>
      </x:c>
      <x:c r="E129" s="60" t="str">
        <x:v>From a well-shuffled deck of 52 playing cards, a ca rd is drawn at random. What is the probability of getting a red queen?</x:v>
      </x:c>
      <x:c r="F129" s="60" t="str">
        <x:v>1 52</x:v>
      </x:c>
      <x:c r="G129" s="60" t="str">
        <x:v>1 26</x:v>
      </x:c>
      <x:c r="H129" s="60" t="str">
        <x:v>1 13</x:v>
      </x:c>
      <x:c r="I129" s="60" t="str">
        <x:v>12 13</x:v>
      </x:c>
      <x:c r="J129" s="60" t="str">
        <x:v>1 26</x:v>
      </x:c>
      <x:c r="K129" s="60" t="str">
        <x:v>Favourable outcomes divided by all equally likely outcomes gives 1 26.</x:v>
      </x:c>
      <x:c r="L129" s="60" t="str">
        <x:v>WX1YZ/1</x:v>
      </x:c>
      <x:c r="M129" s="60" t="str">
        <x:v>Mathematics</x:v>
      </x:c>
      <x:c r="N129" s="60" t="str">
        <x:v>Mathematical notation requires reconstruction</x:v>
      </x:c>
      <x:c r="O129" s="60" t="str">
        <x:v>Correct from a reliable source, independently verify the answer, then rescreen.</x:v>
      </x:c>
    </x:row>
    <x:row r="130">
      <x:c r="A130" s="62" t="n">
        <x:v>260</x:v>
      </x:c>
      <x:c r="B130" s="60" t="str">
        <x:v>Mathematics</x:v>
      </x:c>
      <x:c r="C130" s="60" t="str">
        <x:v>Hard</x:v>
      </x:c>
      <x:c r="D130" s="60" t="str">
        <x:v>Circle Theorems</x:v>
      </x:c>
      <x:c r="E130" s="60" t="str">
        <x:v>The length of the arc of a circle of radius 14 cm which subtends an angle of 60 o at the centre of the circle is:</x:v>
      </x:c>
      <x:c r="F130" s="60" t="str">
        <x:v>44 3 cm</x:v>
      </x:c>
      <x:c r="G130" s="60" t="str">
        <x:v>88 3 cm</x:v>
      </x:c>
      <x:c r="H130" s="60" t="str">
        <x:v>308 3 cm</x:v>
      </x:c>
      <x:c r="I130" s="60" t="str">
        <x:v>616 3 cm</x:v>
      </x:c>
      <x:c r="J130" s="60" t="str">
        <x:v>44 3 cm</x:v>
      </x:c>
      <x:c r="K130" s="60" t="str">
        <x:v>The relevant circle measure for “The length of the arc of a” is 44 3 cm.</x:v>
      </x:c>
      <x:c r="L130" s="60" t="str">
        <x:v>WX1YZ/1</x:v>
      </x:c>
      <x:c r="M130" s="60" t="str">
        <x:v>Mathematics</x:v>
      </x:c>
      <x:c r="N130" s="60" t="str">
        <x:v>Mathematical notation requires reconstruction</x:v>
      </x:c>
      <x:c r="O130" s="60" t="str">
        <x:v>Correct from a reliable source, independently verify the answer, then rescreen.</x:v>
      </x:c>
    </x:row>
    <x:row r="131">
      <x:c r="A131" s="62" t="n">
        <x:v>261</x:v>
      </x:c>
      <x:c r="B131" s="60" t="str">
        <x:v>Mathematics</x:v>
      </x:c>
      <x:c r="C131" s="60" t="str">
        <x:v>Easy</x:v>
      </x:c>
      <x:c r="D131" s="60" t="str">
        <x:v>Statistics</x:v>
      </x:c>
      <x:c r="E131" s="60" t="str">
        <x:v>The mode of the numbers 2, 3, 3, 4, 5, 4, 4, 5, 3, 4, 2, 6, 7 is:</x:v>
      </x:c>
      <x:c r="F131" s="60" t="str">
        <x:v>2</x:v>
      </x:c>
      <x:c r="G131" s="60" t="str">
        <x:v>3</x:v>
      </x:c>
      <x:c r="H131" s="60" t="str">
        <x:v>4</x:v>
      </x:c>
      <x:c r="I131" s="60" t="str">
        <x:v>5</x:v>
      </x:c>
      <x:c r="J131" s="60" t="str">
        <x:v>4</x:v>
      </x:c>
      <x:c r="K131" s="60" t="str">
        <x:v>Substituting the given data in the statistics formula gives 4.</x:v>
      </x:c>
      <x:c r="L131" s="60" t="str">
        <x:v>WX1YZ/1</x:v>
      </x:c>
      <x:c r="M131" s="60" t="str">
        <x:v>Mathematics</x:v>
      </x:c>
      <x:c r="N131" s="60" t="str">
        <x:v>Mathematical notation requires reconstruction</x:v>
      </x:c>
      <x:c r="O131" s="60" t="str">
        <x:v>Correct from a reliable source, independently verify the answer, then rescreen.</x:v>
      </x:c>
    </x:row>
    <x:row r="132">
      <x:c r="A132" s="62" t="n">
        <x:v>263</x:v>
      </x:c>
      <x:c r="B132" s="60" t="str">
        <x:v>Mathematics</x:v>
      </x:c>
      <x:c r="C132" s="60" t="str">
        <x:v>Easy</x:v>
      </x:c>
      <x:c r="D132" s="60" t="str">
        <x:v>Probability</x:v>
      </x:c>
      <x:c r="E132" s="60" t="str">
        <x:v>Which of the following cannot be the probability of an event?</x:v>
      </x:c>
      <x:c r="F132" s="60" t="str">
        <x:v>0.1</x:v>
      </x:c>
      <x:c r="G132" s="60" t="str">
        <x:v>5 3</x:v>
      </x:c>
      <x:c r="H132" s="60" t="str">
        <x:v>3%</x:v>
      </x:c>
      <x:c r="I132" s="60" t="str">
        <x:v>1 3</x:v>
      </x:c>
      <x:c r="J132" s="60" t="str">
        <x:v>5 3</x:v>
      </x:c>
      <x:c r="K132" s="60" t="str">
        <x:v>Favourable outcomes divided by all equally likely outcomes gives 5 3.</x:v>
      </x:c>
      <x:c r="L132" s="60" t="str">
        <x:v>WX1YZ/1</x:v>
      </x:c>
      <x:c r="M132" s="60" t="str">
        <x:v>Mathematics</x:v>
      </x:c>
      <x:c r="N132" s="60" t="str">
        <x:v>Mathematical notation requires reconstruction</x:v>
      </x:c>
      <x:c r="O132" s="60" t="str">
        <x:v>Correct from a reliable source, independently verify the answer, then rescreen.</x:v>
      </x:c>
    </x:row>
    <x:row r="133">
      <x:c r="A133" s="62" t="n">
        <x:v>264</x:v>
      </x:c>
      <x:c r="B133" s="60" t="str">
        <x:v>Mathematics</x:v>
      </x:c>
      <x:c r="C133" s="60" t="str">
        <x:v>Hard</x:v>
      </x:c>
      <x:c r="D133" s="60" t="str">
        <x:v>Quadratic Equations &amp; Polynomials</x:v>
      </x:c>
      <x:c r="E133" s="60" t="str">
        <x:v>Which of the following is not a quadratic equation?</x:v>
      </x:c>
      <x:c r="F133" s="60" t="str">
        <x:v>2( x −1) 2 = 4 x2 − 2x +</x:v>
      </x:c>
      <x:c r="G133" s="60" t="str">
        <x:v>2 x − x 2 = x2 + 5</x:v>
      </x:c>
      <x:c r="H133" s="60" t="str">
        <x:v>( 2 x + 3 )2 + x2 = 3 x2 − 5x</x:v>
      </x:c>
      <x:c r="I133" s="60" t="str">
        <x:v>( x2 +2x) 2 = x 4 + 3 + 4x3</x:v>
      </x:c>
      <x:c r="J133" s="60" t="str">
        <x:v>( 2 x + 3 )2 + x2 = 3 x2 − 5x</x:v>
      </x:c>
      <x:c r="K133" s="60" t="str">
        <x:v>Substituting the given values for “Which of the following is not a” gives ( 2 x + 3 )2 + x2 = 3 x2 − 5x.</x:v>
      </x:c>
      <x:c r="L133" s="60" t="str">
        <x:v>WX1YZ/1</x:v>
      </x:c>
      <x:c r="M133" s="60" t="str">
        <x:v>Mathematics</x:v>
      </x:c>
      <x:c r="N133" s="60" t="str">
        <x:v>Mathematical notation requires reconstruction</x:v>
      </x:c>
      <x:c r="O133" s="60" t="str">
        <x:v>Correct from a reliable source, independently verify the answer, then rescreen.</x:v>
      </x:c>
    </x:row>
    <x:row r="134">
      <x:c r="A134" s="62" t="n">
        <x:v>265</x:v>
      </x:c>
      <x:c r="B134" s="60" t="str">
        <x:v>Mathematics</x:v>
      </x:c>
      <x:c r="C134" s="60" t="str">
        <x:v>Easy</x:v>
      </x:c>
      <x:c r="D134" s="60" t="str">
        <x:v>Number Systems</x:v>
      </x:c>
      <x:c r="E134" s="60" t="str">
        <x:v>(HCF × LCM) for the numbers 30 and 70 is:</x:v>
      </x:c>
      <x:c r="F134" s="60" t="str">
        <x:v>2100</x:v>
      </x:c>
      <x:c r="G134" s="60" t="str">
        <x:v>21</x:v>
      </x:c>
      <x:c r="H134" s="60" t="str">
        <x:v>210</x:v>
      </x:c>
      <x:c r="I134" s="60" t="str">
        <x:v>70</x:v>
      </x:c>
      <x:c r="J134" s="60" t="str">
        <x:v>2100</x:v>
      </x:c>
      <x:c r="K134" s="60" t="str">
        <x:v>Prime factorisation of the stated numbers gives 2100.</x:v>
      </x:c>
      <x:c r="L134" s="60" t="str">
        <x:v>WX1YZ/1</x:v>
      </x:c>
      <x:c r="M134" s="60" t="str">
        <x:v>Mathematics</x:v>
      </x:c>
      <x:c r="N134" s="60" t="str">
        <x:v>Mathematical notation requires reconstruction</x:v>
      </x:c>
      <x:c r="O134" s="60" t="str">
        <x:v>Correct from a reliable source, independently verify the answer, then rescreen.</x:v>
      </x:c>
    </x:row>
    <x:row r="135">
      <x:c r="A135" s="62" t="n">
        <x:v>266</x:v>
      </x:c>
      <x:c r="B135" s="60" t="str">
        <x:v>Mathematics</x:v>
      </x:c>
      <x:c r="C135" s="60" t="str">
        <x:v>Easy</x:v>
      </x:c>
      <x:c r="D135" s="60" t="str">
        <x:v>Probability</x:v>
      </x:c>
      <x:c r="E135" s="60" t="str">
        <x:v>From a well-shuffled deck of 52 cards, a card is d rawn at random. What is the probability of getting king of hearts?</x:v>
      </x:c>
      <x:c r="F135" s="60" t="str">
        <x:v>1 52</x:v>
      </x:c>
      <x:c r="G135" s="60" t="str">
        <x:v>1 26</x:v>
      </x:c>
      <x:c r="H135" s="60" t="str">
        <x:v>1 13</x:v>
      </x:c>
      <x:c r="I135" s="60" t="str">
        <x:v>12 13</x:v>
      </x:c>
      <x:c r="J135" s="60" t="str">
        <x:v>1 52</x:v>
      </x:c>
      <x:c r="K135" s="60" t="str">
        <x:v>Favourable outcomes divided by all equally likely outcomes gives 1 52.</x:v>
      </x:c>
      <x:c r="L135" s="60" t="str">
        <x:v>WX1YZ/1</x:v>
      </x:c>
      <x:c r="M135" s="60" t="str">
        <x:v>Mathematics</x:v>
      </x:c>
      <x:c r="N135" s="60" t="str">
        <x:v>Mathematical notation requires reconstruction</x:v>
      </x:c>
      <x:c r="O135" s="60" t="str">
        <x:v>Correct from a reliable source, independently verify the answer, then rescreen.</x:v>
      </x:c>
    </x:row>
    <x:row r="136">
      <x:c r="A136" s="62" t="n">
        <x:v>267</x:v>
      </x:c>
      <x:c r="B136" s="60" t="str">
        <x:v>Mathematics</x:v>
      </x:c>
      <x:c r="C136" s="60" t="str">
        <x:v>Easy</x:v>
      </x:c>
      <x:c r="D136" s="60" t="str">
        <x:v>General Mathematics</x:v>
      </x:c>
      <x:c r="E136" s="60" t="str">
        <x:v>Let E be an event such that P(not E) = 1 5 , then P(E) is equal to:</x:v>
      </x:c>
      <x:c r="F136" s="60" t="str">
        <x:v>1 5</x:v>
      </x:c>
      <x:c r="G136" s="60" t="str">
        <x:v>2 5</x:v>
      </x:c>
      <x:c r="H136" s="60" t="str">
        <x:v>0</x:v>
      </x:c>
      <x:c r="I136" s="60" t="str">
        <x:v>4 5</x:v>
      </x:c>
      <x:c r="J136" s="60" t="str">
        <x:v>4 5</x:v>
      </x:c>
      <x:c r="K136" s="60" t="str">
        <x:v>Substituting the given values for “Let E be an event such that” gives 4 5.</x:v>
      </x:c>
      <x:c r="L136" s="60" t="str">
        <x:v>WX1YZ/1</x:v>
      </x:c>
      <x:c r="M136" s="60" t="str">
        <x:v>Mathematics</x:v>
      </x:c>
      <x:c r="N136" s="60" t="str">
        <x:v>Mathematical notation requires reconstruction</x:v>
      </x:c>
      <x:c r="O136" s="60" t="str">
        <x:v>Correct from a reliable source, independently verify the answer, then rescreen.</x:v>
      </x:c>
    </x:row>
    <x:row r="137">
      <x:c r="A137" s="62" t="n">
        <x:v>272</x:v>
      </x:c>
      <x:c r="B137" s="60" t="str">
        <x:v>Mathematics</x:v>
      </x:c>
      <x:c r="C137" s="60" t="str">
        <x:v>Hard</x:v>
      </x:c>
      <x:c r="D137" s="60" t="str">
        <x:v>Trigonometry</x:v>
      </x:c>
      <x:c r="E137" s="60" t="str">
        <x:v>9 sec² A − 9 tan² A is equal to</x:v>
      </x:c>
      <x:c r="F137" s="60" t="str">
        <x:v>9</x:v>
      </x:c>
      <x:c r="G137" s="60" t="str">
        <x:v>0</x:v>
      </x:c>
      <x:c r="H137" s="60" t="str">
        <x:v>8</x:v>
      </x:c>
      <x:c r="I137" s="60" t="str">
        <x:v>91</x:v>
      </x:c>
      <x:c r="J137" s="60" t="str">
        <x:v>9</x:v>
      </x:c>
      <x:c r="K137" s="60" t="str">
        <x:v>Using the standard trigonometric identity gives 9.</x:v>
      </x:c>
      <x:c r="L137" s="60" t="str">
        <x:v>WX1YZ/2</x:v>
      </x:c>
      <x:c r="M137" s="60" t="str">
        <x:v>Mathematics</x:v>
      </x:c>
      <x:c r="N137" s="60" t="str">
        <x:v>Mathematical notation requires reconstruction</x:v>
      </x:c>
      <x:c r="O137" s="60" t="str">
        <x:v>Correct from a reliable source, independently verify the answer, then rescreen.</x:v>
      </x:c>
    </x:row>
    <x:row r="138">
      <x:c r="A138" s="62" t="n">
        <x:v>273</x:v>
      </x:c>
      <x:c r="B138" s="60" t="str">
        <x:v>Mathematics</x:v>
      </x:c>
      <x:c r="C138" s="60" t="str">
        <x:v>Easy</x:v>
      </x:c>
      <x:c r="D138" s="60" t="str">
        <x:v>Probability</x:v>
      </x:c>
      <x:c r="E138" s="60" t="str">
        <x:v>A die is rolled once. The probability that a composite number comes up, is</x:v>
      </x:c>
      <x:c r="F138" s="60" t="str">
        <x:v>21</x:v>
      </x:c>
      <x:c r="G138" s="60" t="str">
        <x:v>32</x:v>
      </x:c>
      <x:c r="H138" s="60" t="str">
        <x:v>31</x:v>
      </x:c>
      <x:c r="I138" s="60" t="str">
        <x:v>0</x:v>
      </x:c>
      <x:c r="J138" s="60" t="str">
        <x:v>31</x:v>
      </x:c>
      <x:c r="K138" s="60" t="str">
        <x:v>Favourable outcomes divided by all equally likely outcomes gives 31.</x:v>
      </x:c>
      <x:c r="L138" s="60" t="str">
        <x:v>WX1YZ/2</x:v>
      </x:c>
      <x:c r="M138" s="60" t="str">
        <x:v>Mathematics</x:v>
      </x:c>
      <x:c r="N138" s="60" t="str">
        <x:v>Mathematical notation requires reconstruction</x:v>
      </x:c>
      <x:c r="O138" s="60" t="str">
        <x:v>Correct from a reliable source, independently verify the answer, then rescreen.</x:v>
      </x:c>
    </x:row>
    <x:row r="139">
      <x:c r="A139" s="62" t="n">
        <x:v>274</x:v>
      </x:c>
      <x:c r="B139" s="60" t="str">
        <x:v>Mathematics</x:v>
      </x:c>
      <x:c r="C139" s="60" t="str">
        <x:v>Medium</x:v>
      </x:c>
      <x:c r="D139" s="60" t="str">
        <x:v>Mensuration</x:v>
      </x:c>
      <x:c r="E139" s="60" t="str">
        <x:v>A solid is of the form of a of the same radius. If the height of the cone is the same as the diameter of its base, then the volume of the solid is</x:v>
      </x:c>
      <x:c r="F139" s="60" t="str">
        <x:v>r3</x:v>
      </x:c>
      <x:c r="G139" s="60" t="str">
        <x:v>34r3</x:v>
      </x:c>
      <x:c r="H139" s="60" t="str">
        <x:v>3r3</x:v>
      </x:c>
      <x:c r="I139" s="60" t="str">
        <x:v>32r3</x:v>
      </x:c>
      <x:c r="J139" s="60" t="str">
        <x:v>34r3</x:v>
      </x:c>
      <x:c r="K139" s="60" t="str">
        <x:v>The stated mensuration formula evaluates to 34r3.</x:v>
      </x:c>
      <x:c r="L139" s="60" t="str">
        <x:v>WX1YZ/2</x:v>
      </x:c>
      <x:c r="M139" s="60" t="str">
        <x:v>Mathematics</x:v>
      </x:c>
      <x:c r="N139" s="60" t="str">
        <x:v>Mathematical notation requires reconstruction; Mensuration question stem is incomplete.</x:v>
      </x:c>
      <x:c r="O139" s="60" t="str">
        <x:v>Correct from a reliable source, independently verify the answer, then rescreen.</x:v>
      </x:c>
    </x:row>
    <x:row r="140">
      <x:c r="A140" s="62" t="n">
        <x:v>275</x:v>
      </x:c>
      <x:c r="B140" s="60" t="str">
        <x:v>Mathematics</x:v>
      </x:c>
      <x:c r="C140" s="60" t="str">
        <x:v>Hard</x:v>
      </x:c>
      <x:c r="D140" s="60" t="str">
        <x:v>Trigonometry</x:v>
      </x:c>
      <x:c r="E140" s="60" t="str">
        <x:v>From a point P, two tangents PQ and PR are drawn to a circle with centre at O. T is a point on the major arc QR of the circle. If QPR = 50, then QTR equals</x:v>
      </x:c>
      <x:c r="F140" s="60" t="str">
        <x:v>50</x:v>
      </x:c>
      <x:c r="G140" s="60" t="str">
        <x:v>130</x:v>
      </x:c>
      <x:c r="H140" s="60" t="str">
        <x:v>65</x:v>
      </x:c>
      <x:c r="I140" s="60" t="str">
        <x:v>90</x:v>
      </x:c>
      <x:c r="J140" s="60" t="str">
        <x:v>65</x:v>
      </x:c>
      <x:c r="K140" s="60" t="str">
        <x:v>Favourable outcomes divided by all equally likely outcomes gives 65.</x:v>
      </x:c>
      <x:c r="L140" s="60" t="str">
        <x:v>WX1YZ/2</x:v>
      </x:c>
      <x:c r="M140" s="60" t="str">
        <x:v>Mathematics</x:v>
      </x:c>
      <x:c r="N140" s="60" t="str">
        <x:v>Mathematical notation requires reconstruction</x:v>
      </x:c>
      <x:c r="O140" s="60" t="str">
        <x:v>Correct from a reliable source, independently verify the answer, then rescreen.</x:v>
      </x:c>
    </x:row>
    <x:row r="141">
      <x:c r="A141" s="62" t="n">
        <x:v>276</x:v>
      </x:c>
      <x:c r="B141" s="60" t="str">
        <x:v>Mathematics</x:v>
      </x:c>
      <x:c r="C141" s="60" t="str">
        <x:v>Hard</x:v>
      </x:c>
      <x:c r="D141" s="60" t="str">
        <x:v>Quadratic Equations &amp; Polynomials</x:v>
      </x:c>
      <x:c r="E141" s="60" t="str">
        <x:v>Graph of a polynomial p(x) is given in the figure. The number of zeroes of p(x) is</x:v>
      </x:c>
      <x:c r="F141" s="60" t="str">
        <x:v>2</x:v>
      </x:c>
      <x:c r="G141" s="60" t="str">
        <x:v>3</x:v>
      </x:c>
      <x:c r="H141" s="60" t="str">
        <x:v>4</x:v>
      </x:c>
      <x:c r="I141" s="60" t="str">
        <x:v>5</x:v>
      </x:c>
      <x:c r="J141" s="60" t="str">
        <x:v>2</x:v>
      </x:c>
      <x:c r="K141" s="60" t="str">
        <x:v>Substituting the given values for “Graph of a polynomial p x is” gives 2.</x:v>
      </x:c>
      <x:c r="L141" s="60" t="str">
        <x:v>WX1YZ/2</x:v>
      </x:c>
      <x:c r="M141" s="60" t="str">
        <x:v>Mathematics</x:v>
      </x:c>
      <x:c r="N141" s="60" t="str">
        <x:v>Visual or diagram required but unavailable; Mathematical notation requires reconstruction</x:v>
      </x:c>
      <x:c r="O141" s="60" t="str">
        <x:v>Exclude until a visual is created or replace with a self-contained question.</x:v>
      </x:c>
    </x:row>
    <x:row r="142">
      <x:c r="A142" s="62" t="n">
        <x:v>277</x:v>
      </x:c>
      <x:c r="B142" s="60" t="str">
        <x:v>Mathematics</x:v>
      </x:c>
      <x:c r="C142" s="60" t="str">
        <x:v>Easy</x:v>
      </x:c>
      <x:c r="D142" s="60" t="str">
        <x:v>Sequences</x:v>
      </x:c>
      <x:c r="E142" s="60" t="str">
        <x:v>How many terms are there in the A.P. given below ? 14, 19, 24, 29, ....., 119</x:v>
      </x:c>
      <x:c r="F142" s="60" t="str">
        <x:v>18</x:v>
      </x:c>
      <x:c r="G142" s="60" t="str">
        <x:v>14</x:v>
      </x:c>
      <x:c r="H142" s="60" t="str">
        <x:v>22</x:v>
      </x:c>
      <x:c r="I142" s="60" t="str">
        <x:v>21</x:v>
      </x:c>
      <x:c r="J142" s="60" t="str">
        <x:v>22</x:v>
      </x:c>
      <x:c r="K142" s="60" t="str">
        <x:v>Applying the arithmetic-progression relation gives 22.</x:v>
      </x:c>
      <x:c r="L142" s="60" t="str">
        <x:v>WX1YZ/2</x:v>
      </x:c>
      <x:c r="M142" s="60" t="str">
        <x:v>Mathematics</x:v>
      </x:c>
      <x:c r="N142" s="60" t="str">
        <x:v>Mathematical notation requires reconstruction</x:v>
      </x:c>
      <x:c r="O142" s="60" t="str">
        <x:v>Correct from a reliable source, independently verify the answer, then rescreen.</x:v>
      </x:c>
    </x:row>
    <x:row r="143">
      <x:c r="A143" s="62" t="n">
        <x:v>278</x:v>
      </x:c>
      <x:c r="B143" s="60" t="str">
        <x:v>Mathematics</x:v>
      </x:c>
      <x:c r="C143" s="60" t="str">
        <x:v>Hard</x:v>
      </x:c>
      <x:c r="D143" s="60" t="str">
        <x:v>Trigonometry</x:v>
      </x:c>
      <x:c r="E143" s="60" t="str">
        <x:v>If tan A = 52, then the value of Asin1 Acos122 is</x:v>
      </x:c>
      <x:c r="F143" s="60" t="str">
        <x:v>425</x:v>
      </x:c>
      <x:c r="G143" s="60" t="str">
        <x:v>254</x:v>
      </x:c>
      <x:c r="H143" s="60" t="str">
        <x:v>54</x:v>
      </x:c>
      <x:c r="I143" s="60" t="str">
        <x:v>45</x:v>
      </x:c>
      <x:c r="J143" s="60" t="str">
        <x:v>254</x:v>
      </x:c>
      <x:c r="K143" s="60" t="str">
        <x:v>Using the standard trigonometric identity gives 254.</x:v>
      </x:c>
      <x:c r="L143" s="60" t="str">
        <x:v>WX1YZ/2</x:v>
      </x:c>
      <x:c r="M143" s="60" t="str">
        <x:v>Mathematics</x:v>
      </x:c>
      <x:c r="N143" s="60" t="str">
        <x:v>Mathematical notation requires reconstruction; Trigonometric expression is unreadable.</x:v>
      </x:c>
      <x:c r="O143" s="60" t="str">
        <x:v>Correct from a reliable source, independently verify the answer, then rescreen.</x:v>
      </x:c>
    </x:row>
    <x:row r="144">
      <x:c r="A144" s="62" t="n">
        <x:v>279</x:v>
      </x:c>
      <x:c r="B144" s="60" t="str">
        <x:v>Mathematics</x:v>
      </x:c>
      <x:c r="C144" s="60" t="str">
        <x:v>Easy</x:v>
      </x:c>
      <x:c r="D144" s="60" t="str">
        <x:v>Number Systems</x:v>
      </x:c>
      <x:c r="E144" s="60" t="str">
        <x:v>If the HCF of 360 and 64 is 8, then their LCM is</x:v>
      </x:c>
      <x:c r="F144" s="60" t="str">
        <x:v>2480</x:v>
      </x:c>
      <x:c r="G144" s="60" t="str">
        <x:v>2780</x:v>
      </x:c>
      <x:c r="H144" s="60" t="str">
        <x:v>512</x:v>
      </x:c>
      <x:c r="I144" s="60" t="str">
        <x:v>2880</x:v>
      </x:c>
      <x:c r="J144" s="60" t="str">
        <x:v>2880</x:v>
      </x:c>
      <x:c r="K144" s="60" t="str">
        <x:v>Prime factorisation of the stated numbers gives 2880.</x:v>
      </x:c>
      <x:c r="L144" s="60" t="str">
        <x:v>WX1YZ/2</x:v>
      </x:c>
      <x:c r="M144" s="60" t="str">
        <x:v>Mathematics</x:v>
      </x:c>
      <x:c r="N144" s="60" t="str">
        <x:v>Mathematical notation requires reconstruction</x:v>
      </x:c>
      <x:c r="O144" s="60" t="str">
        <x:v>Correct from a reliable source, independently verify the answer, then rescreen.</x:v>
      </x:c>
    </x:row>
    <x:row r="145">
      <x:c r="A145" s="62" t="n">
        <x:v>281</x:v>
      </x:c>
      <x:c r="B145" s="60" t="str">
        <x:v>Mathematics</x:v>
      </x:c>
      <x:c r="C145" s="60" t="str">
        <x:v>Medium</x:v>
      </x:c>
      <x:c r="D145" s="60" t="str">
        <x:v>Linear Equations</x:v>
      </x:c>
      <x:c r="E145" s="60" t="str">
        <x:v>The pair of linear equations x + 2y 5 = 0 and 2x 4y + 6 = 0</x:v>
      </x:c>
      <x:c r="F145" s="60" t="str">
        <x:v>is inconsistent</x:v>
      </x:c>
      <x:c r="G145" s="60" t="str">
        <x:v>is consistent with many solutions</x:v>
      </x:c>
      <x:c r="H145" s="60" t="str">
        <x:v>is consistent with a unique solution</x:v>
      </x:c>
      <x:c r="I145" s="60" t="str">
        <x:v>is consistent with two solutions</x:v>
      </x:c>
      <x:c r="J145" s="60" t="str">
        <x:v>is consistent with a unique solution</x:v>
      </x:c>
      <x:c r="K145" s="60" t="str">
        <x:v>Substituting the given values for “The pair of linear equations x 2y” gives is consistent with a unique solution.</x:v>
      </x:c>
      <x:c r="L145" s="60" t="str">
        <x:v>WX1YZ/2</x:v>
      </x:c>
      <x:c r="M145" s="60" t="str">
        <x:v>Mathematics</x:v>
      </x:c>
      <x:c r="N145" s="60" t="str">
        <x:v>Linear equations lost mathematical operators.</x:v>
      </x:c>
      <x:c r="O145" s="60" t="str">
        <x:v>Correct from a reliable source, independently verify the answer, then rescreen.</x:v>
      </x:c>
    </x:row>
    <x:row r="146">
      <x:c r="A146" s="62" t="n">
        <x:v>283</x:v>
      </x:c>
      <x:c r="B146" s="60" t="str">
        <x:v>Mathematics</x:v>
      </x:c>
      <x:c r="C146" s="60" t="str">
        <x:v>Hard</x:v>
      </x:c>
      <x:c r="D146" s="60" t="str">
        <x:v>Trigonometry</x:v>
      </x:c>
      <x:c r="E146" s="60" t="str">
        <x:v>8(cos² A + sin² A) is equal to</x:v>
      </x:c>
      <x:c r="F146" s="60" t="str">
        <x:v>1</x:v>
      </x:c>
      <x:c r="G146" s="60" t="str">
        <x:v>0</x:v>
      </x:c>
      <x:c r="H146" s="60" t="str">
        <x:v>9</x:v>
      </x:c>
      <x:c r="I146" s="60" t="str">
        <x:v>8</x:v>
      </x:c>
      <x:c r="J146" s="60" t="str">
        <x:v>8</x:v>
      </x:c>
      <x:c r="K146" s="60" t="str">
        <x:v>Using the standard trigonometric identity gives 8.</x:v>
      </x:c>
      <x:c r="L146" s="60" t="str">
        <x:v>WX1YZ/2</x:v>
      </x:c>
      <x:c r="M146" s="60" t="str">
        <x:v>Mathematics</x:v>
      </x:c>
      <x:c r="N146" s="60" t="str">
        <x:v>Mathematical notation requires reconstruction</x:v>
      </x:c>
      <x:c r="O146" s="60" t="str">
        <x:v>Correct from a reliable source, independently verify the answer, then rescreen.</x:v>
      </x:c>
    </x:row>
    <x:row r="147">
      <x:c r="A147" s="62" t="n">
        <x:v>284</x:v>
      </x:c>
      <x:c r="B147" s="60" t="str">
        <x:v>Mathematics</x:v>
      </x:c>
      <x:c r="C147" s="60" t="str">
        <x:v>Easy</x:v>
      </x:c>
      <x:c r="D147" s="60" t="str">
        <x:v>Probability</x:v>
      </x:c>
      <x:c r="E147" s="60" t="str">
        <x:v>A card is drawn at random from a well-shuffled deck of 52 playing cards. The probability that it is a red king, is</x:v>
      </x:c>
      <x:c r="F147" s="60" t="str">
        <x:v>131</x:v>
      </x:c>
      <x:c r="G147" s="60" t="str">
        <x:v>521</x:v>
      </x:c>
      <x:c r="H147" s="60" t="str">
        <x:v>261</x:v>
      </x:c>
      <x:c r="I147" s="60" t="str">
        <x:v>132</x:v>
      </x:c>
      <x:c r="J147" s="60" t="str">
        <x:v>261</x:v>
      </x:c>
      <x:c r="K147" s="60" t="str">
        <x:v>Favourable outcomes divided by all equally likely outcomes gives 261.</x:v>
      </x:c>
      <x:c r="L147" s="60" t="str">
        <x:v>WX1YZ/2</x:v>
      </x:c>
      <x:c r="M147" s="60" t="str">
        <x:v>Mathematics</x:v>
      </x:c>
      <x:c r="N147" s="60" t="str">
        <x:v>Mathematical notation requires reconstruction; Probability fraction is corrupted.</x:v>
      </x:c>
      <x:c r="O147" s="60" t="str">
        <x:v>Correct from a reliable source, independently verify the answer, then rescreen.</x:v>
      </x:c>
    </x:row>
    <x:row r="148">
      <x:c r="A148" s="62" t="n">
        <x:v>285</x:v>
      </x:c>
      <x:c r="B148" s="60" t="str">
        <x:v>Mathematics</x:v>
      </x:c>
      <x:c r="C148" s="60" t="str">
        <x:v>Medium</x:v>
      </x:c>
      <x:c r="D148" s="60" t="str">
        <x:v>Mensuration</x:v>
      </x:c>
      <x:c r="E148" s="60" t="str">
        <x:v>A solid is of the form of a cone of radof the same radius. If the height of the cone is the same as the diameter of its base, then the volume of the solid is</x:v>
      </x:c>
      <x:c r="F148" s="60" t="str">
        <x:v>r3</x:v>
      </x:c>
      <x:c r="G148" s="60" t="str">
        <x:v>34r3</x:v>
      </x:c>
      <x:c r="H148" s="60" t="str">
        <x:v>3r3</x:v>
      </x:c>
      <x:c r="I148" s="60" t="str">
        <x:v>32r3</x:v>
      </x:c>
      <x:c r="J148" s="60" t="str">
        <x:v>34r3</x:v>
      </x:c>
      <x:c r="K148" s="60" t="str">
        <x:v>The stated mensuration formula evaluates to 34r3.</x:v>
      </x:c>
      <x:c r="L148" s="60" t="str">
        <x:v>WX1YZ/2</x:v>
      </x:c>
      <x:c r="M148" s="60" t="str">
        <x:v>Mathematics</x:v>
      </x:c>
      <x:c r="N148" s="60" t="str">
        <x:v>Mathematical notation requires reconstruction; Mensuration question stem and formula are incomplete.</x:v>
      </x:c>
      <x:c r="O148" s="60" t="str">
        <x:v>Correct from a reliable source, independently verify the answer, then rescreen.</x:v>
      </x:c>
    </x:row>
    <x:row r="149">
      <x:c r="A149" s="62" t="n">
        <x:v>286</x:v>
      </x:c>
      <x:c r="B149" s="60" t="str">
        <x:v>Mathematics</x:v>
      </x:c>
      <x:c r="C149" s="60" t="str">
        <x:v>Easy</x:v>
      </x:c>
      <x:c r="D149" s="60" t="str">
        <x:v>Number Systems</x:v>
      </x:c>
      <x:c r="E149" s="60" t="str">
        <x:v>If the HCF of 72 and 234 is 18, then the LCM (72, 234) is</x:v>
      </x:c>
      <x:c r="F149" s="60" t="str">
        <x:v>936</x:v>
      </x:c>
      <x:c r="G149" s="60" t="str">
        <x:v>836</x:v>
      </x:c>
      <x:c r="H149" s="60" t="str">
        <x:v>324</x:v>
      </x:c>
      <x:c r="I149" s="60" t="str">
        <x:v>234</x:v>
      </x:c>
      <x:c r="J149" s="60" t="str">
        <x:v>936</x:v>
      </x:c>
      <x:c r="K149" s="60" t="str">
        <x:v>Prime factorisation of the stated numbers gives 936.</x:v>
      </x:c>
      <x:c r="L149" s="60" t="str">
        <x:v>WX1YZ/2</x:v>
      </x:c>
      <x:c r="M149" s="60" t="str">
        <x:v>Mathematics</x:v>
      </x:c>
      <x:c r="N149" s="60" t="str">
        <x:v>Mathematical notation requires reconstruction</x:v>
      </x:c>
      <x:c r="O149" s="60" t="str">
        <x:v>Correct from a reliable source, independently verify the answer, then rescreen.</x:v>
      </x:c>
    </x:row>
    <x:row r="150">
      <x:c r="A150" s="62" t="n">
        <x:v>287</x:v>
      </x:c>
      <x:c r="B150" s="60" t="str">
        <x:v>Mathematics</x:v>
      </x:c>
      <x:c r="C150" s="60" t="str">
        <x:v>Easy</x:v>
      </x:c>
      <x:c r="D150" s="60" t="str">
        <x:v>Sequences</x:v>
      </x:c>
      <x:c r="E150" s="60" t="str">
        <x:v>The sum of the first 21 terms of an A.P. : 16, 12, 8, 4, ..... is</x:v>
      </x:c>
      <x:c r="F150" s="60" t="str">
        <x:v>480</x:v>
      </x:c>
      <x:c r="G150" s="60" t="str">
        <x:v>504</x:v>
      </x:c>
      <x:c r="H150" s="60" t="str">
        <x:v>1176</x:v>
      </x:c>
      <x:c r="I150" s="60" t="str">
        <x:v>484</x:v>
      </x:c>
      <x:c r="J150" s="60" t="str">
        <x:v>504</x:v>
      </x:c>
      <x:c r="K150" s="60" t="str">
        <x:v>Applying the arithmetic-progression relation gives 504.</x:v>
      </x:c>
      <x:c r="L150" s="60" t="str">
        <x:v>WX1YZ/2</x:v>
      </x:c>
      <x:c r="M150" s="60" t="str">
        <x:v>Mathematics</x:v>
      </x:c>
      <x:c r="N150" s="60" t="str">
        <x:v>Mathematical notation requires reconstruction</x:v>
      </x:c>
      <x:c r="O150" s="60" t="str">
        <x:v>Correct from a reliable source, independently verify the answer, then rescreen.</x:v>
      </x:c>
    </x:row>
    <x:row r="151">
      <x:c r="A151" s="62" t="n">
        <x:v>288</x:v>
      </x:c>
      <x:c r="B151" s="60" t="str">
        <x:v>Mathematics</x:v>
      </x:c>
      <x:c r="C151" s="60" t="str">
        <x:v>Medium</x:v>
      </x:c>
      <x:c r="D151" s="60" t="str">
        <x:v>Mensuration</x:v>
      </x:c>
      <x:c r="E151" s="60" t="str">
        <x:v>A solid is of the form of a surmounted on a hemisphere of the same radius. If the height of the cone is the same as the diameter of its base, then the volume of the solid is</x:v>
      </x:c>
      <x:c r="F151" s="60" t="str">
        <x:v>r3</x:v>
      </x:c>
      <x:c r="G151" s="60" t="str">
        <x:v>34r3</x:v>
      </x:c>
      <x:c r="H151" s="60" t="str">
        <x:v>3r3</x:v>
      </x:c>
      <x:c r="I151" s="60" t="str">
        <x:v>32r3</x:v>
      </x:c>
      <x:c r="J151" s="60" t="str">
        <x:v>34r3</x:v>
      </x:c>
      <x:c r="K151" s="60" t="str">
        <x:v>The stated mensuration formula evaluates to 34r3.</x:v>
      </x:c>
      <x:c r="L151" s="60" t="str">
        <x:v>WX1YZ/2</x:v>
      </x:c>
      <x:c r="M151" s="60" t="str">
        <x:v>Mathematics</x:v>
      </x:c>
      <x:c r="N151" s="60" t="str">
        <x:v>Mathematical notation requires reconstruction; Mensuration question stem and formula are incomplete.</x:v>
      </x:c>
      <x:c r="O151" s="60" t="str">
        <x:v>Correct from a reliable source, independently verify the answer, then rescreen.</x:v>
      </x:c>
    </x:row>
    <x:row r="152">
      <x:c r="A152" s="62" t="n">
        <x:v>290</x:v>
      </x:c>
      <x:c r="B152" s="60" t="str">
        <x:v>Mathematics</x:v>
      </x:c>
      <x:c r="C152" s="60" t="str">
        <x:v>Easy</x:v>
      </x:c>
      <x:c r="D152" s="60" t="str">
        <x:v>Probability</x:v>
      </x:c>
      <x:c r="E152" s="60" t="str">
        <x:v>Two coins are tossed together. The probability of getting atmost two heads, is</x:v>
      </x:c>
      <x:c r="F152" s="60" t="str">
        <x:v>21</x:v>
      </x:c>
      <x:c r="G152" s="60" t="str">
        <x:v>41</x:v>
      </x:c>
      <x:c r="H152" s="60" t="str">
        <x:v>43</x:v>
      </x:c>
      <x:c r="I152" s="60" t="str">
        <x:v>1</x:v>
      </x:c>
      <x:c r="J152" s="60" t="str">
        <x:v>1</x:v>
      </x:c>
      <x:c r="K152" s="60" t="str">
        <x:v>Favourable outcomes divided by all equally likely outcomes gives 1.</x:v>
      </x:c>
      <x:c r="L152" s="60" t="str">
        <x:v>WX1YZ/2</x:v>
      </x:c>
      <x:c r="M152" s="60" t="str">
        <x:v>Mathematics</x:v>
      </x:c>
      <x:c r="N152" s="60" t="str">
        <x:v>Mathematical notation requires reconstruction</x:v>
      </x:c>
      <x:c r="O152" s="60" t="str">
        <x:v>Correct from a reliable source, independently verify the answer, then rescreen.</x:v>
      </x:c>
    </x:row>
    <x:row r="153">
      <x:c r="A153" s="62" t="n">
        <x:v>291</x:v>
      </x:c>
      <x:c r="B153" s="60" t="str">
        <x:v>Mathematics</x:v>
      </x:c>
      <x:c r="C153" s="60" t="str">
        <x:v>Easy</x:v>
      </x:c>
      <x:c r="D153" s="60" t="str">
        <x:v>Probability</x:v>
      </x:c>
      <x:c r="E153" s="60" t="str">
        <x:v>A bag contains 100 cards numbered 1 to 100. A card is drawn at random from the bag. What is the probability that the number on the card is a perfect cube?</x:v>
      </x:c>
      <x:c r="F153" s="60" t="str">
        <x:v>201</x:v>
      </x:c>
      <x:c r="G153" s="60" t="str">
        <x:v>503</x:v>
      </x:c>
      <x:c r="H153" s="60" t="str">
        <x:v>251</x:v>
      </x:c>
      <x:c r="I153" s="60" t="str">
        <x:v>1007</x:v>
      </x:c>
      <x:c r="J153" s="60" t="str">
        <x:v>251</x:v>
      </x:c>
      <x:c r="K153" s="60" t="str">
        <x:v>Favourable outcomes divided by all equally likely outcomes gives 251.</x:v>
      </x:c>
      <x:c r="L153" s="60" t="str">
        <x:v>WX1YZ/2</x:v>
      </x:c>
      <x:c r="M153" s="60" t="str">
        <x:v>Mathematics</x:v>
      </x:c>
      <x:c r="N153" s="60" t="str">
        <x:v>Mathematical notation requires reconstruction</x:v>
      </x:c>
      <x:c r="O153" s="60" t="str">
        <x:v>Correct from a reliable source, independently verify the answer, then rescreen.</x:v>
      </x:c>
    </x:row>
    <x:row r="154">
      <x:c r="A154" s="62" t="n">
        <x:v>292</x:v>
      </x:c>
      <x:c r="B154" s="60" t="str">
        <x:v>Mathematics</x:v>
      </x:c>
      <x:c r="C154" s="60" t="str">
        <x:v>Easy</x:v>
      </x:c>
      <x:c r="D154" s="60" t="str">
        <x:v>General Mathematics</x:v>
      </x:c>
      <x:c r="E154" s="60" t="str">
        <x:v>If ABC A = 32 and R = 65, then the measure of B is</x:v>
      </x:c>
      <x:c r="F154" s="60" t="str">
        <x:v>32</x:v>
      </x:c>
      <x:c r="G154" s="60" t="str">
        <x:v>65</x:v>
      </x:c>
      <x:c r="H154" s="60" t="str">
        <x:v>83</x:v>
      </x:c>
      <x:c r="I154" s="60" t="str">
        <x:v>97</x:v>
      </x:c>
      <x:c r="J154" s="60" t="str">
        <x:v>83</x:v>
      </x:c>
      <x:c r="K154" s="60" t="str">
        <x:v>Substituting the given values for “If ABC A 32 and R 65” gives 83.</x:v>
      </x:c>
      <x:c r="L154" s="60" t="str">
        <x:v>WX1YZ/2</x:v>
      </x:c>
      <x:c r="M154" s="60" t="str">
        <x:v>Mathematics</x:v>
      </x:c>
      <x:c r="N154" s="60" t="str">
        <x:v>Mathematical notation requires reconstruction</x:v>
      </x:c>
      <x:c r="O154" s="60" t="str">
        <x:v>Correct from a reliable source, independently verify the answer, then rescreen.</x:v>
      </x:c>
    </x:row>
    <x:row r="155">
      <x:c r="A155" s="62" t="n">
        <x:v>293</x:v>
      </x:c>
      <x:c r="B155" s="60" t="str">
        <x:v>Mathematics</x:v>
      </x:c>
      <x:c r="C155" s="60" t="str">
        <x:v>Hard</x:v>
      </x:c>
      <x:c r="D155" s="60" t="str">
        <x:v>Trigonometry</x:v>
      </x:c>
      <x:c r="E155" s="60" t="str">
        <x:v>If three coins are tossed simultaneously, what is the probability of getting at most one tail?</x:v>
      </x:c>
      <x:c r="F155" s="60" t="str">
        <x:v>83</x:v>
      </x:c>
      <x:c r="G155" s="60" t="str">
        <x:v>84</x:v>
      </x:c>
      <x:c r="H155" s="60" t="str">
        <x:v>85</x:v>
      </x:c>
      <x:c r="I155" s="60" t="str">
        <x:v>87</x:v>
      </x:c>
      <x:c r="J155" s="60" t="str">
        <x:v>84</x:v>
      </x:c>
      <x:c r="K155" s="60" t="str">
        <x:v>Favourable outcomes divided by all equally likely outcomes gives 84.</x:v>
      </x:c>
      <x:c r="L155" s="60" t="str">
        <x:v>WX1YZ/2</x:v>
      </x:c>
      <x:c r="M155" s="60" t="str">
        <x:v>Mathematics</x:v>
      </x:c>
      <x:c r="N155" s="60" t="str">
        <x:v>Mathematical notation requires reconstruction</x:v>
      </x:c>
      <x:c r="O155" s="60" t="str">
        <x:v>Correct from a reliable source, independently verify the answer, then rescreen.</x:v>
      </x:c>
    </x:row>
    <x:row r="156">
      <x:c r="A156" s="62" t="n">
        <x:v>294</x:v>
      </x:c>
      <x:c r="B156" s="60" t="str">
        <x:v>Mathematics</x:v>
      </x:c>
      <x:c r="C156" s="60" t="str">
        <x:v>Hard</x:v>
      </x:c>
      <x:c r="D156" s="60" t="str">
        <x:v>Circle Theorems</x:v>
      </x:c>
      <x:c r="E156" s="60" t="str">
        <x:v>In the given figure, the quadrilateral PQRS circumscribes a circle. Here PA + CS is equal to</x:v>
      </x:c>
      <x:c r="F156" s="60" t="str">
        <x:v>QR</x:v>
      </x:c>
      <x:c r="G156" s="60" t="str">
        <x:v>PR</x:v>
      </x:c>
      <x:c r="H156" s="60" t="str">
        <x:v>PS</x:v>
      </x:c>
      <x:c r="I156" s="60" t="str">
        <x:v>PQ</x:v>
      </x:c>
      <x:c r="J156" s="60" t="str">
        <x:v>PS</x:v>
      </x:c>
      <x:c r="K156" s="60" t="str">
        <x:v>The relevant circle measure for “In the given figure the quadrilateral PQRS” is PS.</x:v>
      </x:c>
      <x:c r="L156" s="60" t="str">
        <x:v>WX1YZ/2</x:v>
      </x:c>
      <x:c r="M156" s="60" t="str">
        <x:v>Mathematics</x:v>
      </x:c>
      <x:c r="N156" s="60" t="str">
        <x:v>Visual or diagram required but unavailable</x:v>
      </x:c>
      <x:c r="O156" s="60" t="str">
        <x:v>Exclude until a visual is created or replace with a self-contained question.</x:v>
      </x:c>
    </x:row>
    <x:row r="157">
      <x:c r="A157" s="62" t="n">
        <x:v>295</x:v>
      </x:c>
      <x:c r="B157" s="60" t="str">
        <x:v>Mathematics</x:v>
      </x:c>
      <x:c r="C157" s="60" t="str">
        <x:v>Easy</x:v>
      </x:c>
      <x:c r="D157" s="60" t="str">
        <x:v>Geometry</x:v>
      </x:c>
      <x:c r="E157" s="60" t="str">
        <x:v>The hour-hand of a clock is 6 cm long. The angle swept by it between 7:20 a.m. and 7:55 a.m. is</x:v>
      </x:c>
      <x:c r="F157" s="60" t="str">
        <x:v>435</x:v>
      </x:c>
      <x:c r="G157" s="60" t="str">
        <x:v>235</x:v>
      </x:c>
      <x:c r="H157" s="60" t="str">
        <x:v>35</x:v>
      </x:c>
      <x:c r="I157" s="60" t="str">
        <x:v>70</x:v>
      </x:c>
      <x:c r="J157" s="60" t="str">
        <x:v>235</x:v>
      </x:c>
      <x:c r="K157" s="60" t="str">
        <x:v>Substituting the given values for “The hour hand of a clock is” gives 235.</x:v>
      </x:c>
      <x:c r="L157" s="60" t="str">
        <x:v>WX1YZ/2</x:v>
      </x:c>
      <x:c r="M157" s="60" t="str">
        <x:v>Mathematics</x:v>
      </x:c>
      <x:c r="N157" s="60" t="str">
        <x:v>Mathematical notation requires reconstruction</x:v>
      </x:c>
      <x:c r="O157" s="60" t="str">
        <x:v>Correct from a reliable source, independently verify the answer, then rescreen.</x:v>
      </x:c>
    </x:row>
    <x:row r="158">
      <x:c r="A158" s="62" t="n">
        <x:v>297</x:v>
      </x:c>
      <x:c r="B158" s="60" t="str">
        <x:v>Mathematics</x:v>
      </x:c>
      <x:c r="C158" s="60" t="str">
        <x:v>Hard</x:v>
      </x:c>
      <x:c r="D158" s="60" t="str">
        <x:v>Quadratic Equations &amp; Polynomials</x:v>
      </x:c>
      <x:c r="E158" s="60" t="str">
        <x:v>Which of the following quadratic equations has sum of its roots as 4?</x:v>
      </x:c>
      <x:c r="F158" s="60" t="str">
        <x:v>2x2 4x + 8 = 0</x:v>
      </x:c>
      <x:c r="G158" s="60" t="str">
        <x:v>x2 + 4x + 4 = 0</x:v>
      </x:c>
      <x:c r="H158" s="60" t="str">
        <x:v>2x2 24x + 1 = 0</x:v>
      </x:c>
      <x:c r="I158" s="60" t="str">
        <x:v>4x2 4x + 4 = 0</x:v>
      </x:c>
      <x:c r="J158" s="60" t="str">
        <x:v>x2 + 4x + 4 = 0</x:v>
      </x:c>
      <x:c r="K158" s="60" t="str">
        <x:v>Substituting the given values for “Which of the following quadratic equations has” gives x2 + 4x + 4 = 0.</x:v>
      </x:c>
      <x:c r="L158" s="60" t="str">
        <x:v>WX1YZ/2</x:v>
      </x:c>
      <x:c r="M158" s="60" t="str">
        <x:v>Mathematics</x:v>
      </x:c>
      <x:c r="N158" s="60" t="str">
        <x:v>Mathematical notation requires reconstruction</x:v>
      </x:c>
      <x:c r="O158" s="60" t="str">
        <x:v>Correct from a reliable source, independently verify the answer, then rescreen.</x:v>
      </x:c>
    </x:row>
    <x:row r="159">
      <x:c r="A159" s="62" t="n">
        <x:v>298</x:v>
      </x:c>
      <x:c r="B159" s="60" t="str">
        <x:v>Mathematics</x:v>
      </x:c>
      <x:c r="C159" s="60" t="str">
        <x:v>Easy</x:v>
      </x:c>
      <x:c r="D159" s="60" t="str">
        <x:v>General Mathematics</x:v>
      </x:c>
      <x:c r="E159" s="60" t="str">
        <x:v>If x = 0·3, is a root of the equation x2 0·9k = 0, then k is equal to</x:v>
      </x:c>
      <x:c r="F159" s="60" t="str">
        <x:v>1</x:v>
      </x:c>
      <x:c r="G159" s="60" t="str">
        <x:v>10</x:v>
      </x:c>
      <x:c r="H159" s="60" t="str">
        <x:v>0·1</x:v>
      </x:c>
      <x:c r="I159" s="60" t="str">
        <x:v>100</x:v>
      </x:c>
      <x:c r="J159" s="60" t="str">
        <x:v>0·1</x:v>
      </x:c>
      <x:c r="K159" s="60" t="str">
        <x:v>Substituting the given values for “If x 0 3 is a root” gives 0·1.</x:v>
      </x:c>
      <x:c r="L159" s="60" t="str">
        <x:v>WX1YZ/2</x:v>
      </x:c>
      <x:c r="M159" s="60" t="str">
        <x:v>Mathematics</x:v>
      </x:c>
      <x:c r="N159" s="60" t="str">
        <x:v>Mathematical notation requires reconstruction</x:v>
      </x:c>
      <x:c r="O159" s="60" t="str">
        <x:v>Correct from a reliable source, independently verify the answer, then rescreen.</x:v>
      </x:c>
    </x:row>
    <x:row r="160">
      <x:c r="A160" s="62" t="n">
        <x:v>299</x:v>
      </x:c>
      <x:c r="B160" s="60" t="str">
        <x:v>Mathematics</x:v>
      </x:c>
      <x:c r="C160" s="60" t="str">
        <x:v>Hard</x:v>
      </x:c>
      <x:c r="D160" s="60" t="str">
        <x:v>Trigonometry</x:v>
      </x:c>
      <x:c r="E160" s="60" t="str">
        <x:v>In a single throw of two dice, the probability of getting 12 as a product of two numbers obtained is</x:v>
      </x:c>
      <x:c r="F160" s="60" t="str">
        <x:v>91</x:v>
      </x:c>
      <x:c r="G160" s="60" t="str">
        <x:v>92</x:v>
      </x:c>
      <x:c r="H160" s="60" t="str">
        <x:v>94</x:v>
      </x:c>
      <x:c r="I160" s="60" t="str">
        <x:v>95</x:v>
      </x:c>
      <x:c r="J160" s="60" t="str">
        <x:v>91</x:v>
      </x:c>
      <x:c r="K160" s="60" t="str">
        <x:v>Favourable outcomes divided by all equally likely outcomes gives 91.</x:v>
      </x:c>
      <x:c r="L160" s="60" t="str">
        <x:v>WX1YZ/2</x:v>
      </x:c>
      <x:c r="M160" s="60" t="str">
        <x:v>Mathematics</x:v>
      </x:c>
      <x:c r="N160" s="60" t="str">
        <x:v>Mathematical notation requires reconstruction</x:v>
      </x:c>
      <x:c r="O160" s="60" t="str">
        <x:v>Correct from a reliable source, independently verify the answer, then rescreen.</x:v>
      </x:c>
    </x:row>
    <x:row r="161">
      <x:c r="A161" s="62" t="n">
        <x:v>301</x:v>
      </x:c>
      <x:c r="B161" s="60" t="str">
        <x:v>Mathematics</x:v>
      </x:c>
      <x:c r="C161" s="60" t="str">
        <x:v>Easy</x:v>
      </x:c>
      <x:c r="D161" s="60" t="str">
        <x:v>Probability</x:v>
      </x:c>
      <x:c r="E161" s="60" t="str">
        <x:v>In a lottery, there are 5 prizes and 20 blanks. The probability of getting a prize is</x:v>
      </x:c>
      <x:c r="F161" s="60" t="str">
        <x:v>41</x:v>
      </x:c>
      <x:c r="G161" s="60" t="str">
        <x:v>201</x:v>
      </x:c>
      <x:c r="H161" s="60" t="str">
        <x:v>251</x:v>
      </x:c>
      <x:c r="I161" s="60" t="str">
        <x:v>51</x:v>
      </x:c>
      <x:c r="J161" s="60" t="str">
        <x:v>51</x:v>
      </x:c>
      <x:c r="K161" s="60" t="str">
        <x:v>Favourable outcomes divided by all equally likely outcomes gives 51.</x:v>
      </x:c>
      <x:c r="L161" s="60" t="str">
        <x:v>WX1YZ/2</x:v>
      </x:c>
      <x:c r="M161" s="60" t="str">
        <x:v>Mathematics</x:v>
      </x:c>
      <x:c r="N161" s="60" t="str">
        <x:v>Mathematical notation requires reconstruction</x:v>
      </x:c>
      <x:c r="O161" s="60" t="str">
        <x:v>Correct from a reliable source, independently verify the answer, then rescreen.</x:v>
      </x:c>
    </x:row>
    <x:row r="162">
      <x:c r="A162" s="62" t="n">
        <x:v>302</x:v>
      </x:c>
      <x:c r="B162" s="60" t="str">
        <x:v>Mathematics</x:v>
      </x:c>
      <x:c r="C162" s="60" t="str">
        <x:v>Easy</x:v>
      </x:c>
      <x:c r="D162" s="60" t="str">
        <x:v>General Mathematics</x:v>
      </x:c>
      <x:c r="E162" s="60" t="str">
        <x:v>In the given figure, A = C, AB = 6 cm, AP = 12 cm, CP = 4 cm. Then length of CD is</x:v>
      </x:c>
      <x:c r="F162" s="60" t="str">
        <x:v>2 cm</x:v>
      </x:c>
      <x:c r="G162" s="60" t="str">
        <x:v>6 cm</x:v>
      </x:c>
      <x:c r="H162" s="60" t="str">
        <x:v>8 cm</x:v>
      </x:c>
      <x:c r="I162" s="60" t="str">
        <x:v>18 cm</x:v>
      </x:c>
      <x:c r="J162" s="60" t="str">
        <x:v>2 cm</x:v>
      </x:c>
      <x:c r="K162" s="60" t="str">
        <x:v>Applying the arithmetic-progression relation gives 2 cm.</x:v>
      </x:c>
      <x:c r="L162" s="60" t="str">
        <x:v>WX1YZ/2</x:v>
      </x:c>
      <x:c r="M162" s="60" t="str">
        <x:v>Mathematics</x:v>
      </x:c>
      <x:c r="N162" s="60" t="str">
        <x:v>Visual or diagram required but unavailable</x:v>
      </x:c>
      <x:c r="O162" s="60" t="str">
        <x:v>Exclude until a visual is created or replace with a self-contained question.</x:v>
      </x:c>
    </x:row>
    <x:row r="163">
      <x:c r="A163" s="62" t="n">
        <x:v>305</x:v>
      </x:c>
      <x:c r="B163" s="60" t="str">
        <x:v>Mathematics</x:v>
      </x:c>
      <x:c r="C163" s="60" t="str">
        <x:v>Hard</x:v>
      </x:c>
      <x:c r="D163" s="60" t="str">
        <x:v>Trigonometry</x:v>
      </x:c>
      <x:c r="E163" s="60" t="str">
        <x:v>In the given figure, PQ is a tangent to the circle with centre O. If ∠OPQ = x, ∠POQ = y, then x + y is:</x:v>
      </x:c>
      <x:c r="F163" s="60" t="str">
        <x:v>45 o</x:v>
      </x:c>
      <x:c r="G163" s="60" t="str">
        <x:v>90 o</x:v>
      </x:c>
      <x:c r="H163" s="60" t="str">
        <x:v>60 o</x:v>
      </x:c>
      <x:c r="I163" s="60" t="str">
        <x:v>180 o</x:v>
      </x:c>
      <x:c r="J163" s="60" t="str">
        <x:v>90 o</x:v>
      </x:c>
      <x:c r="K163" s="60" t="str">
        <x:v>The relevant circle measure for “In the given figure PQ is a” is 90 o.</x:v>
      </x:c>
      <x:c r="L163" s="60" t="str">
        <x:v>WX1YZ/4</x:v>
      </x:c>
      <x:c r="M163" s="60" t="str">
        <x:v>Mathematics</x:v>
      </x:c>
      <x:c r="N163" s="60" t="str">
        <x:v>Visual or diagram required but unavailable</x:v>
      </x:c>
      <x:c r="O163" s="60" t="str">
        <x:v>Exclude until a visual is created or replace with a self-contained question.</x:v>
      </x:c>
    </x:row>
    <x:row r="164">
      <x:c r="A164" s="62" t="n">
        <x:v>306</x:v>
      </x:c>
      <x:c r="B164" s="60" t="str">
        <x:v>Mathematics</x:v>
      </x:c>
      <x:c r="C164" s="60" t="str">
        <x:v>Hard</x:v>
      </x:c>
      <x:c r="D164" s="60" t="str">
        <x:v>Trigonometry</x:v>
      </x:c>
      <x:c r="E164" s="60" t="str">
        <x:v>In the given figure, TA is a tangent to the circle with centre O such that OT = 4 cm, ∠OTA = 30 o, then length of TA is:</x:v>
      </x:c>
      <x:c r="F164" s="60" t="str">
        <x:v>2 3 cm</x:v>
      </x:c>
      <x:c r="G164" s="60" t="str">
        <x:v>2 cm</x:v>
      </x:c>
      <x:c r="H164" s="60" t="str">
        <x:v>2 2 cm</x:v>
      </x:c>
      <x:c r="I164" s="60" t="str">
        <x:v>3 cm</x:v>
      </x:c>
      <x:c r="J164" s="60" t="str">
        <x:v>2 3 cm</x:v>
      </x:c>
      <x:c r="K164" s="60" t="str">
        <x:v>The relevant circle measure for “In the given figure TA is a” is 2 3 cm.</x:v>
      </x:c>
      <x:c r="L164" s="60" t="str">
        <x:v>WX1YZ/4</x:v>
      </x:c>
      <x:c r="M164" s="60" t="str">
        <x:v>Mathematics</x:v>
      </x:c>
      <x:c r="N164" s="60" t="str">
        <x:v>Visual or diagram required but unavailable; Mathematical notation requires reconstruction</x:v>
      </x:c>
      <x:c r="O164" s="60" t="str">
        <x:v>Exclude until a visual is created or replace with a self-contained question.</x:v>
      </x:c>
    </x:row>
    <x:row r="165">
      <x:c r="A165" s="62" t="n">
        <x:v>307</x:v>
      </x:c>
      <x:c r="B165" s="60" t="str">
        <x:v>Mathematics</x:v>
      </x:c>
      <x:c r="C165" s="60" t="str">
        <x:v>Hard</x:v>
      </x:c>
      <x:c r="D165" s="60" t="str">
        <x:v>Trigonometry</x:v>
      </x:c>
      <x:c r="E165" s="60" t="str">
        <x:v>The distance of the point (–1, 7) from xoaxis is:</x:v>
      </x:c>
      <x:c r="F165" s="60" t="str">
        <x:v>–1</x:v>
      </x:c>
      <x:c r="G165" s="60" t="str">
        <x:v>7</x:v>
      </x:c>
      <x:c r="H165" s="60" t="str">
        <x:v>6</x:v>
      </x:c>
      <x:c r="I165" s="60" t="str">
        <x:v>50</x:v>
      </x:c>
      <x:c r="J165" s="60" t="str">
        <x:v>7</x:v>
      </x:c>
      <x:c r="K165" s="60" t="str">
        <x:v>The coordinate formula for “The distance of the point 1 7” gives 7.</x:v>
      </x:c>
      <x:c r="L165" s="60" t="str">
        <x:v>WX1YZ/4</x:v>
      </x:c>
      <x:c r="M165" s="60" t="str">
        <x:v>Mathematics</x:v>
      </x:c>
      <x:c r="N165" s="60" t="str">
        <x:v>Mathematical notation requires reconstruction</x:v>
      </x:c>
      <x:c r="O165" s="60" t="str">
        <x:v>Correct from a reliable source, independently verify the answer, then rescreen.</x:v>
      </x:c>
    </x:row>
    <x:row r="166">
      <x:c r="A166" s="62" t="n">
        <x:v>309</x:v>
      </x:c>
      <x:c r="B166" s="60" t="str">
        <x:v>Mathematics</x:v>
      </x:c>
      <x:c r="C166" s="60" t="str">
        <x:v>Easy</x:v>
      </x:c>
      <x:c r="D166" s="60" t="str">
        <x:v>Sequences</x:v>
      </x:c>
      <x:c r="E166" s="60" t="str">
        <x:v>The next term of the A.P. : 6, 24 , 54 is:</x:v>
      </x:c>
      <x:c r="F166" s="60" t="str">
        <x:v>60</x:v>
      </x:c>
      <x:c r="G166" s="60" t="str">
        <x:v>96</x:v>
      </x:c>
      <x:c r="H166" s="60" t="str">
        <x:v>72</x:v>
      </x:c>
      <x:c r="I166" s="60" t="str">
        <x:v>216</x:v>
      </x:c>
      <x:c r="J166" s="60" t="str">
        <x:v>96</x:v>
      </x:c>
      <x:c r="K166" s="60" t="str">
        <x:v>Applying the arithmetic-progression relation gives 96.</x:v>
      </x:c>
      <x:c r="L166" s="60" t="str">
        <x:v>WX1YZ/4</x:v>
      </x:c>
      <x:c r="M166" s="60" t="str">
        <x:v>Mathematics</x:v>
      </x:c>
      <x:c r="N166" s="60" t="str">
        <x:v>Mathematical notation requires reconstruction</x:v>
      </x:c>
      <x:c r="O166" s="60" t="str">
        <x:v>Correct from a reliable source, independently verify the answer, then rescreen.</x:v>
      </x:c>
    </x:row>
    <x:row r="167">
      <x:c r="A167" s="62" t="n">
        <x:v>311</x:v>
      </x:c>
      <x:c r="B167" s="60" t="str">
        <x:v>Mathematics</x:v>
      </x:c>
      <x:c r="C167" s="60" t="str">
        <x:v>Easy</x:v>
      </x:c>
      <x:c r="D167" s="60" t="str">
        <x:v>Probability</x:v>
      </x:c>
      <x:c r="E167" s="60" t="str">
        <x:v>Two dice are thrown together. The probability of getting the difference of numbers on their upper faces equals to 3 is:</x:v>
      </x:c>
      <x:c r="F167" s="60" t="str">
        <x:v>1 9</x:v>
      </x:c>
      <x:c r="G167" s="60" t="str">
        <x:v>2 9</x:v>
      </x:c>
      <x:c r="H167" s="60" t="str">
        <x:v>1 6</x:v>
      </x:c>
      <x:c r="I167" s="60" t="str">
        <x:v>1 12</x:v>
      </x:c>
      <x:c r="J167" s="60" t="str">
        <x:v>1 6</x:v>
      </x:c>
      <x:c r="K167" s="60" t="str">
        <x:v>Favourable outcomes divided by all equally likely outcomes gives 1 6.</x:v>
      </x:c>
      <x:c r="L167" s="60" t="str">
        <x:v>WX1YZ/4</x:v>
      </x:c>
      <x:c r="M167" s="60" t="str">
        <x:v>Mathematics</x:v>
      </x:c>
      <x:c r="N167" s="60" t="str">
        <x:v>Mathematical notation requires reconstruction</x:v>
      </x:c>
      <x:c r="O167" s="60" t="str">
        <x:v>Correct from a reliable source, independently verify the answer, then rescreen.</x:v>
      </x:c>
    </x:row>
    <x:row r="168">
      <x:c r="A168" s="62" t="n">
        <x:v>312</x:v>
      </x:c>
      <x:c r="B168" s="60" t="str">
        <x:v>Mathematics</x:v>
      </x:c>
      <x:c r="C168" s="60" t="str">
        <x:v>Hard</x:v>
      </x:c>
      <x:c r="D168" s="60" t="str">
        <x:v>Circle Theorems</x:v>
      </x:c>
      <x:c r="E168" s="60" t="str">
        <x:v>What is the area of a semiocircle of diameter ‘d’?</x:v>
      </x:c>
      <x:c r="F168" s="60" t="str">
        <x:v>21πd 16</x:v>
      </x:c>
      <x:c r="G168" s="60" t="str">
        <x:v>21πd 4</x:v>
      </x:c>
      <x:c r="H168" s="60" t="str">
        <x:v>21πd 8</x:v>
      </x:c>
      <x:c r="I168" s="60" t="str">
        <x:v>21πd 2</x:v>
      </x:c>
      <x:c r="J168" s="60" t="str">
        <x:v>21πd 8</x:v>
      </x:c>
      <x:c r="K168" s="60" t="str">
        <x:v>The relevant circle measure for “What is the area of a semiocircle” is 21πd 8.</x:v>
      </x:c>
      <x:c r="L168" s="60" t="str">
        <x:v>WX1YZ/4</x:v>
      </x:c>
      <x:c r="M168" s="60" t="str">
        <x:v>Mathematics</x:v>
      </x:c>
      <x:c r="N168" s="60" t="str">
        <x:v>Mathematical notation requires reconstruction; Formula notation and question spelling are corrupted.</x:v>
      </x:c>
      <x:c r="O168" s="60" t="str">
        <x:v>Correct from a reliable source, independently verify the answer, then rescreen.</x:v>
      </x:c>
    </x:row>
    <x:row r="169">
      <x:c r="A169" s="62" t="n">
        <x:v>313</x:v>
      </x:c>
      <x:c r="B169" s="60" t="str">
        <x:v>Mathematics</x:v>
      </x:c>
      <x:c r="C169" s="60" t="str">
        <x:v>Easy</x:v>
      </x:c>
      <x:c r="D169" s="60" t="str">
        <x:v>Probability</x:v>
      </x:c>
      <x:c r="E169" s="60" t="str">
        <x:v>A bag contains 5 red balls and n green balls. If the probability of drawing a green ball is three times that of a red ball, then the value of n is:</x:v>
      </x:c>
      <x:c r="F169" s="60" t="str">
        <x:v>18</x:v>
      </x:c>
      <x:c r="G169" s="60" t="str">
        <x:v>15</x:v>
      </x:c>
      <x:c r="H169" s="60" t="str">
        <x:v>10</x:v>
      </x:c>
      <x:c r="I169" s="60" t="str">
        <x:v>20</x:v>
      </x:c>
      <x:c r="J169" s="60" t="str">
        <x:v>15</x:v>
      </x:c>
      <x:c r="K169" s="60" t="str">
        <x:v>Favourable outcomes divided by all equally likely outcomes gives 15.</x:v>
      </x:c>
      <x:c r="L169" s="60" t="str">
        <x:v>WX1YZ/4</x:v>
      </x:c>
      <x:c r="M169" s="60" t="str">
        <x:v>Mathematics</x:v>
      </x:c>
      <x:c r="N169" s="60" t="str">
        <x:v>Mathematical notation requires reconstruction</x:v>
      </x:c>
      <x:c r="O169" s="60" t="str">
        <x:v>Correct from a reliable source, independently verify the answer, then rescreen.</x:v>
      </x:c>
    </x:row>
    <x:row r="170">
      <x:c r="A170" s="62" t="n">
        <x:v>314</x:v>
      </x:c>
      <x:c r="B170" s="60" t="str">
        <x:v>Mathematics</x:v>
      </x:c>
      <x:c r="C170" s="60" t="str">
        <x:v>Easy</x:v>
      </x:c>
      <x:c r="D170" s="60" t="str">
        <x:v>Probability</x:v>
      </x:c>
      <x:c r="E170" s="60" t="str">
        <x:v>A card is drawn at random from a wellfshuffled pack of 52 cards. The probability that the card drawn is not an ace is:</x:v>
      </x:c>
      <x:c r="F170" s="60" t="str">
        <x:v>1 13</x:v>
      </x:c>
      <x:c r="G170" s="60" t="str">
        <x:v>9 13</x:v>
      </x:c>
      <x:c r="H170" s="60" t="str">
        <x:v>4 13</x:v>
      </x:c>
      <x:c r="I170" s="60" t="str">
        <x:v>12 13</x:v>
      </x:c>
      <x:c r="J170" s="60" t="str">
        <x:v>12 13</x:v>
      </x:c>
      <x:c r="K170" s="60" t="str">
        <x:v>Favourable outcomes divided by all equally likely outcomes gives 12 13.</x:v>
      </x:c>
      <x:c r="L170" s="60" t="str">
        <x:v>WX1YZ/4</x:v>
      </x:c>
      <x:c r="M170" s="60" t="str">
        <x:v>Mathematics</x:v>
      </x:c>
      <x:c r="N170" s="60" t="str">
        <x:v>Mathematical notation requires reconstruction</x:v>
      </x:c>
      <x:c r="O170" s="60" t="str">
        <x:v>Correct from a reliable source, independently verify the answer, then rescreen.</x:v>
      </x:c>
    </x:row>
    <x:row r="171">
      <x:c r="A171" s="62" t="n">
        <x:v>315</x:v>
      </x:c>
      <x:c r="B171" s="60" t="str">
        <x:v>Mathematics</x:v>
      </x:c>
      <x:c r="C171" s="60" t="str">
        <x:v>Easy</x:v>
      </x:c>
      <x:c r="D171" s="60" t="str">
        <x:v>Statistics</x:v>
      </x:c>
      <x:c r="E171" s="60" t="str">
        <x:v>For the following distribution : 1 Class 0-5 5-10 10-15 15-20 20-25 Frequency 10 15 12 20 9 The sum of lower limits of median class and modal class is</x:v>
      </x:c>
      <x:c r="F171" s="60" t="str">
        <x:v>15</x:v>
      </x:c>
      <x:c r="G171" s="60" t="str">
        <x:v>25</x:v>
      </x:c>
      <x:c r="H171" s="60" t="str">
        <x:v>30</x:v>
      </x:c>
      <x:c r="I171" s="60" t="str">
        <x:v>35</x:v>
      </x:c>
      <x:c r="J171" s="60" t="str">
        <x:v>25</x:v>
      </x:c>
      <x:c r="K171" s="60" t="str">
        <x:v>Substituting the given data in the statistics formula gives 25.</x:v>
      </x:c>
      <x:c r="L171" s="60" t="str">
        <x:v>WX1YZ/4</x:v>
      </x:c>
      <x:c r="M171" s="60" t="str">
        <x:v>Mathematics</x:v>
      </x:c>
      <x:c r="N171" s="60" t="str">
        <x:v>Mathematical notation requires reconstruction</x:v>
      </x:c>
      <x:c r="O171" s="60" t="str">
        <x:v>Correct from a reliable source, independently verify the answer, then rescreen.</x:v>
      </x:c>
    </x:row>
    <x:row r="172">
      <x:c r="A172" s="62" t="n">
        <x:v>316</x:v>
      </x:c>
      <x:c r="B172" s="60" t="str">
        <x:v>Mathematics</x:v>
      </x:c>
      <x:c r="C172" s="60" t="str">
        <x:v>Hard</x:v>
      </x:c>
      <x:c r="D172" s="60" t="str">
        <x:v>Trigonometry</x:v>
      </x:c>
      <x:c r="E172" s="60" t="str">
        <x:v>In the given figure, O is the centre of the circle and PQ is the chord. If the tangent PR at P makes an angle of 50 o with PQ, then the measure of ∠POQ is:</x:v>
      </x:c>
      <x:c r="F172" s="60" t="str">
        <x:v>50 o</x:v>
      </x:c>
      <x:c r="G172" s="60" t="str">
        <x:v>40 o</x:v>
      </x:c>
      <x:c r="H172" s="60" t="str">
        <x:v>100 o</x:v>
      </x:c>
      <x:c r="I172" s="60" t="str">
        <x:v>130 o</x:v>
      </x:c>
      <x:c r="J172" s="60" t="str">
        <x:v>100 o</x:v>
      </x:c>
      <x:c r="K172" s="60" t="str">
        <x:v>The relevant circle measure for “In the given figure O is the” is 100 o.</x:v>
      </x:c>
      <x:c r="L172" s="60" t="str">
        <x:v>WX1YZ/4</x:v>
      </x:c>
      <x:c r="M172" s="60" t="str">
        <x:v>Mathematics</x:v>
      </x:c>
      <x:c r="N172" s="60" t="str">
        <x:v>Visual or diagram required but unavailable</x:v>
      </x:c>
      <x:c r="O172" s="60" t="str">
        <x:v>Exclude until a visual is created or replace with a self-contained question.</x:v>
      </x:c>
    </x:row>
    <x:row r="173">
      <x:c r="A173" s="62" t="n">
        <x:v>318</x:v>
      </x:c>
      <x:c r="B173" s="60" t="str">
        <x:v>Mathematics</x:v>
      </x:c>
      <x:c r="C173" s="60" t="str">
        <x:v>Hard</x:v>
      </x:c>
      <x:c r="D173" s="60" t="str">
        <x:v>Circle Theorems</x:v>
      </x:c>
      <x:c r="E173" s="60" t="str">
        <x:v>What is the area of a semifcircle of diameter ‘d’?</x:v>
      </x:c>
      <x:c r="F173" s="60" t="str">
        <x:v>21 πd 16</x:v>
      </x:c>
      <x:c r="G173" s="60" t="str">
        <x:v>21 πd 4</x:v>
      </x:c>
      <x:c r="H173" s="60" t="str">
        <x:v>21 πd 8</x:v>
      </x:c>
      <x:c r="I173" s="60" t="str">
        <x:v>21 πd 2</x:v>
      </x:c>
      <x:c r="J173" s="60" t="str">
        <x:v>21 πd 8</x:v>
      </x:c>
      <x:c r="K173" s="60" t="str">
        <x:v>The relevant circle measure for “What is the area of a semifcircle” is 21 πd 8.</x:v>
      </x:c>
      <x:c r="L173" s="60" t="str">
        <x:v>WX1YZ/4</x:v>
      </x:c>
      <x:c r="M173" s="60" t="str">
        <x:v>Mathematics</x:v>
      </x:c>
      <x:c r="N173" s="60" t="str">
        <x:v>Mathematical notation requires reconstruction; Formula notation and question spelling are corrupted.</x:v>
      </x:c>
      <x:c r="O173" s="60" t="str">
        <x:v>Correct from a reliable source, independently verify the answer, then rescreen.</x:v>
      </x:c>
    </x:row>
    <x:row r="174">
      <x:c r="A174" s="62" t="n">
        <x:v>320</x:v>
      </x:c>
      <x:c r="B174" s="60" t="str">
        <x:v>Mathematics</x:v>
      </x:c>
      <x:c r="C174" s="60" t="str">
        <x:v>Easy</x:v>
      </x:c>
      <x:c r="D174" s="60" t="str">
        <x:v>Probability</x:v>
      </x:c>
      <x:c r="E174" s="60" t="str">
        <x:v>A card is drawn at random from a wellqshuffled pack of 52 cards. The probability that the card drawn is not an ace is:</x:v>
      </x:c>
      <x:c r="F174" s="60" t="str">
        <x:v>1 13</x:v>
      </x:c>
      <x:c r="G174" s="60" t="str">
        <x:v>9 13</x:v>
      </x:c>
      <x:c r="H174" s="60" t="str">
        <x:v>4 13</x:v>
      </x:c>
      <x:c r="I174" s="60" t="str">
        <x:v>12 13</x:v>
      </x:c>
      <x:c r="J174" s="60" t="str">
        <x:v>12 13</x:v>
      </x:c>
      <x:c r="K174" s="60" t="str">
        <x:v>Favourable outcomes divided by all equally likely outcomes gives 12 13.</x:v>
      </x:c>
      <x:c r="L174" s="60" t="str">
        <x:v>WX1YZ/4</x:v>
      </x:c>
      <x:c r="M174" s="60" t="str">
        <x:v>Mathematics</x:v>
      </x:c>
      <x:c r="N174" s="60" t="str">
        <x:v>Mathematical notation requires reconstruction</x:v>
      </x:c>
      <x:c r="O174" s="60" t="str">
        <x:v>Correct from a reliable source, independently verify the answer, then rescreen.</x:v>
      </x:c>
    </x:row>
    <x:row r="175">
      <x:c r="A175" s="62" t="n">
        <x:v>322</x:v>
      </x:c>
      <x:c r="B175" s="60" t="str">
        <x:v>Mathematics</x:v>
      </x:c>
      <x:c r="C175" s="60" t="str">
        <x:v>Easy</x:v>
      </x:c>
      <x:c r="D175" s="60" t="str">
        <x:v>General Mathematics</x:v>
      </x:c>
      <x:c r="E175" s="60" t="str">
        <x:v>In the given figure, PQ || AC. If BP = 4 cm, AP = 2.4 cm and BQ = 5 cm, then length of BC is:</x:v>
      </x:c>
      <x:c r="F175" s="60" t="str">
        <x:v>8 cm</x:v>
      </x:c>
      <x:c r="G175" s="60" t="str">
        <x:v>3 cm</x:v>
      </x:c>
      <x:c r="H175" s="60" t="str">
        <x:v>0.3 cm</x:v>
      </x:c>
      <x:c r="I175" s="60" t="str">
        <x:v>25 3 cm</x:v>
      </x:c>
      <x:c r="J175" s="60" t="str">
        <x:v>8 cm</x:v>
      </x:c>
      <x:c r="K175" s="60" t="str">
        <x:v>Applying the arithmetic-progression relation gives 8 cm.</x:v>
      </x:c>
      <x:c r="L175" s="60" t="str">
        <x:v>WX1YZ/4</x:v>
      </x:c>
      <x:c r="M175" s="60" t="str">
        <x:v>Mathematics</x:v>
      </x:c>
      <x:c r="N175" s="60" t="str">
        <x:v>Visual or diagram required but unavailable</x:v>
      </x:c>
      <x:c r="O175" s="60" t="str">
        <x:v>Exclude until a visual is created or replace with a self-contained question.</x:v>
      </x:c>
    </x:row>
    <x:row r="176">
      <x:c r="A176" s="62" t="n">
        <x:v>323</x:v>
      </x:c>
      <x:c r="B176" s="60" t="str">
        <x:v>Mathematics</x:v>
      </x:c>
      <x:c r="C176" s="60" t="str">
        <x:v>Hard</x:v>
      </x:c>
      <x:c r="D176" s="60" t="str">
        <x:v>Trigonometry</x:v>
      </x:c>
      <x:c r="E176" s="60" t="str">
        <x:v>In the given figure, PT is a tangent at T to the circle with centre O. If ∠TPO = 25 o, then x is equal to:</x:v>
      </x:c>
      <x:c r="F176" s="60" t="str">
        <x:v>25 o</x:v>
      </x:c>
      <x:c r="G176" s="60" t="str">
        <x:v>65 o</x:v>
      </x:c>
      <x:c r="H176" s="60" t="str">
        <x:v>90 o</x:v>
      </x:c>
      <x:c r="I176" s="60" t="str">
        <x:v>115 o</x:v>
      </x:c>
      <x:c r="J176" s="60" t="str">
        <x:v>115 o</x:v>
      </x:c>
      <x:c r="K176" s="60" t="str">
        <x:v>The relevant circle measure for “In the given figure PT is a” is 115 o.</x:v>
      </x:c>
      <x:c r="L176" s="60" t="str">
        <x:v>WX1YZ/4</x:v>
      </x:c>
      <x:c r="M176" s="60" t="str">
        <x:v>Mathematics</x:v>
      </x:c>
      <x:c r="N176" s="60" t="str">
        <x:v>Visual or diagram required but unavailable</x:v>
      </x:c>
      <x:c r="O176" s="60" t="str">
        <x:v>Exclude until a visual is created or replace with a self-contained question.</x:v>
      </x:c>
    </x:row>
    <x:row r="177">
      <x:c r="A177" s="62" t="n">
        <x:v>324</x:v>
      </x:c>
      <x:c r="B177" s="60" t="str">
        <x:v>Mathematics</x:v>
      </x:c>
      <x:c r="C177" s="60" t="str">
        <x:v>Hard</x:v>
      </x:c>
      <x:c r="D177" s="60" t="str">
        <x:v>Circle Theorems</x:v>
      </x:c>
      <x:c r="E177" s="60" t="str">
        <x:v>What is the area of a semiqcircle of diameter ‘d’?</x:v>
      </x:c>
      <x:c r="F177" s="60" t="str">
        <x:v>21πd 16</x:v>
      </x:c>
      <x:c r="G177" s="60" t="str">
        <x:v>21πd 4</x:v>
      </x:c>
      <x:c r="H177" s="60" t="str">
        <x:v>21πd 8</x:v>
      </x:c>
      <x:c r="I177" s="60" t="str">
        <x:v>21πd 2</x:v>
      </x:c>
      <x:c r="J177" s="60" t="str">
        <x:v>21πd 8</x:v>
      </x:c>
      <x:c r="K177" s="60" t="str">
        <x:v>The relevant circle measure for “What is the area of a semiqcircle” is 21πd 8.</x:v>
      </x:c>
      <x:c r="L177" s="60" t="str">
        <x:v>WX1YZ/4</x:v>
      </x:c>
      <x:c r="M177" s="60" t="str">
        <x:v>Mathematics</x:v>
      </x:c>
      <x:c r="N177" s="60" t="str">
        <x:v>Mathematical notation requires reconstruction; Formula notation and question spelling are corrupted.</x:v>
      </x:c>
      <x:c r="O177" s="60" t="str">
        <x:v>Correct from a reliable source, independently verify the answer, then rescreen.</x:v>
      </x:c>
    </x:row>
    <x:row r="178">
      <x:c r="A178" s="62" t="n">
        <x:v>325</x:v>
      </x:c>
      <x:c r="B178" s="60" t="str">
        <x:v>Mathematics</x:v>
      </x:c>
      <x:c r="C178" s="60" t="str">
        <x:v>Hard</x:v>
      </x:c>
      <x:c r="D178" s="60" t="str">
        <x:v>Trigonometry</x:v>
      </x:c>
      <x:c r="E178" s="60" t="str">
        <x:v>A circle is of radius 3 cm. The distance between two of its parallel tangents is</x:v>
      </x:c>
      <x:c r="F178" s="60" t="str">
        <x:v>12 cm</x:v>
      </x:c>
      <x:c r="G178" s="60" t="str">
        <x:v>6 cm</x:v>
      </x:c>
      <x:c r="H178" s="60" t="str">
        <x:v>3 cm</x:v>
      </x:c>
      <x:c r="I178" s="60" t="str">
        <x:v>4·5 cm15. The median class for the data given below is : Class 20 40 40 60 60 80 80 100 100 120 Frequency 10 12 14 13 17</x:v>
      </x:c>
      <x:c r="J178" s="60" t="str">
        <x:v>6 cm</x:v>
      </x:c>
      <x:c r="K178" s="60" t="str">
        <x:v>The coordinate formula for “A circle is of radius 3 cm” gives 6 cm.</x:v>
      </x:c>
      <x:c r="L178" s="60" t="str">
        <x:v>WX1YZ/5</x:v>
      </x:c>
      <x:c r="M178" s="60" t="str">
        <x:v>Mathematics</x:v>
      </x:c>
      <x:c r="N178" s="60" t="str">
        <x:v>Neighbouring question or instruction text is spliced into the record; Mathematical notation requires reconstruction; Neighbouring statistics question is spliced into an option.</x:v>
      </x:c>
      <x:c r="O178" s="60" t="str">
        <x:v>Correct from a reliable source, independently verify the answer, then rescreen.</x:v>
      </x:c>
    </x:row>
    <x:row r="179">
      <x:c r="A179" s="62" t="n">
        <x:v>326</x:v>
      </x:c>
      <x:c r="B179" s="60" t="str">
        <x:v>Mathematics</x:v>
      </x:c>
      <x:c r="C179" s="60" t="str">
        <x:v>Easy</x:v>
      </x:c>
      <x:c r="D179" s="60" t="str">
        <x:v>Number Systems</x:v>
      </x:c>
      <x:c r="E179" s="60" t="str">
        <x:v>LCM of (2³ × 3 × 5) and (2⁴ × 5 × 7) is</x:v>
      </x:c>
      <x:c r="F179" s="60" t="str">
        <x:v>40</x:v>
      </x:c>
      <x:c r="G179" s="60" t="str">
        <x:v>560</x:v>
      </x:c>
      <x:c r="H179" s="60" t="str">
        <x:v>1680</x:v>
      </x:c>
      <x:c r="I179" s="60" t="str">
        <x:v>1120</x:v>
      </x:c>
      <x:c r="J179" s="60" t="str">
        <x:v>1680</x:v>
      </x:c>
      <x:c r="K179" s="60" t="str">
        <x:v>Prime factorisation of the stated numbers gives 1680.</x:v>
      </x:c>
      <x:c r="L179" s="60" t="str">
        <x:v>WX1YZ/5</x:v>
      </x:c>
      <x:c r="M179" s="60" t="str">
        <x:v>Mathematics</x:v>
      </x:c>
      <x:c r="N179" s="60" t="str">
        <x:v>Mathematical notation requires reconstruction</x:v>
      </x:c>
      <x:c r="O179" s="60" t="str">
        <x:v>Correct from a reliable source, independently verify the answer, then rescreen.</x:v>
      </x:c>
    </x:row>
    <x:row r="180">
      <x:c r="A180" s="62" t="n">
        <x:v>327</x:v>
      </x:c>
      <x:c r="B180" s="60" t="str">
        <x:v>Mathematics</x:v>
      </x:c>
      <x:c r="C180" s="60" t="str">
        <x:v>Easy</x:v>
      </x:c>
      <x:c r="D180" s="60" t="str">
        <x:v>Probability</x:v>
      </x:c>
      <x:c r="E180" s="60" t="str">
        <x:v>One card is drawn at random from a well shuffled deck of 52 playing</x:v>
      </x:c>
      <x:c r="F180" s="60" t="str">
        <x:v>521</x:v>
      </x:c>
      <x:c r="G180" s="60" t="str">
        <x:v>131</x:v>
      </x:c>
      <x:c r="H180" s="60" t="str">
        <x:v>261</x:v>
      </x:c>
      <x:c r="I180" s="60" t="str">
        <x:v>614. The distance between the points A(0</x:v>
      </x:c>
      <x:c r="J180" s="60" t="str">
        <x:v>521</x:v>
      </x:c>
      <x:c r="K180" s="60" t="str">
        <x:v>Favourable outcomes divided by all equally likely outcomes gives 521.</x:v>
      </x:c>
      <x:c r="L180" s="60" t="str">
        <x:v>WX1YZ/5</x:v>
      </x:c>
      <x:c r="M180" s="60" t="str">
        <x:v>Mathematics</x:v>
      </x:c>
      <x:c r="N180" s="60" t="str">
        <x:v>Mathematical notation requires reconstruction</x:v>
      </x:c>
      <x:c r="O180" s="60" t="str">
        <x:v>Correct from a reliable source, independently verify the answer, then rescreen.</x:v>
      </x:c>
    </x:row>
    <x:row r="181">
      <x:c r="A181" s="62" t="n">
        <x:v>328</x:v>
      </x:c>
      <x:c r="B181" s="60" t="str">
        <x:v>Mathematics</x:v>
      </x:c>
      <x:c r="C181" s="60" t="str">
        <x:v>Hard</x:v>
      </x:c>
      <x:c r="D181" s="60" t="str">
        <x:v>Trigonometry</x:v>
      </x:c>
      <x:c r="E181" s="60" t="str">
        <x:v>If cos = 73, then sin1 cos2 is equal to</x:v>
      </x:c>
      <x:c r="F181" s="60" t="str">
        <x:v>403</x:v>
      </x:c>
      <x:c r="G181" s="60" t="str">
        <x:v>73</x:v>
      </x:c>
      <x:c r="H181" s="60" t="str">
        <x:v>37</x:v>
      </x:c>
      <x:c r="I181" s="60" t="str">
        <x:v>407</x:v>
      </x:c>
      <x:c r="J181" s="60" t="str">
        <x:v>403</x:v>
      </x:c>
      <x:c r="K181" s="60" t="str">
        <x:v>Using the standard trigonometric identity gives 403.</x:v>
      </x:c>
      <x:c r="L181" s="60" t="str">
        <x:v>WX1YZ/5</x:v>
      </x:c>
      <x:c r="M181" s="60" t="str">
        <x:v>Mathematics</x:v>
      </x:c>
      <x:c r="N181" s="60" t="str">
        <x:v>Mathematical notation requires reconstruction; Trigonometric expression is unreadable.</x:v>
      </x:c>
      <x:c r="O181" s="60" t="str">
        <x:v>Correct from a reliable source, independently verify the answer, then rescreen.</x:v>
      </x:c>
    </x:row>
    <x:row r="182">
      <x:c r="A182" s="62" t="n">
        <x:v>329</x:v>
      </x:c>
      <x:c r="B182" s="60" t="str">
        <x:v>Mathematics</x:v>
      </x:c>
      <x:c r="C182" s="60" t="str">
        <x:v>Hard</x:v>
      </x:c>
      <x:c r="D182" s="60" t="str">
        <x:v>Trigonometry</x:v>
      </x:c>
      <x:c r="E182" s="60" t="str">
        <x:v>The distance between the points (6, 2) and ( 6, 2) is</x:v>
      </x:c>
      <x:c r="F182" s="60" t="str">
        <x:v>26 units</x:v>
      </x:c>
      <x:c r="G182" s="60" t="str">
        <x:v>12 units</x:v>
      </x:c>
      <x:c r="H182" s="60" t="str">
        <x:v>62 units</x:v>
      </x:c>
      <x:c r="I182" s="60" t="str">
        <x:v>6 units</x:v>
      </x:c>
      <x:c r="J182" s="60" t="str">
        <x:v>12 units</x:v>
      </x:c>
      <x:c r="K182" s="60" t="str">
        <x:v>The coordinate formula for “The distance between the points 6 2” gives 12 units.</x:v>
      </x:c>
      <x:c r="L182" s="60" t="str">
        <x:v>WX1YZ/5</x:v>
      </x:c>
      <x:c r="M182" s="60" t="str">
        <x:v>Mathematics</x:v>
      </x:c>
      <x:c r="N182" s="60" t="str">
        <x:v>Displayed coordinates and stored answer are inconsistent.</x:v>
      </x:c>
      <x:c r="O182" s="60" t="str">
        <x:v>Correct from a reliable source, independently verify the answer, then rescreen.</x:v>
      </x:c>
    </x:row>
    <x:row r="183">
      <x:c r="A183" s="62" t="n">
        <x:v>330</x:v>
      </x:c>
      <x:c r="B183" s="60" t="str">
        <x:v>Mathematics</x:v>
      </x:c>
      <x:c r="C183" s="60" t="str">
        <x:v>Easy</x:v>
      </x:c>
      <x:c r="D183" s="60" t="str">
        <x:v>Number Systems</x:v>
      </x:c>
      <x:c r="E183" s="60" t="str">
        <x:v>HCF of (3⁴ × 2² × 7³) and (3² × 5 × 7) is</x:v>
      </x:c>
      <x:c r="F183" s="60" t="str">
        <x:v>630</x:v>
      </x:c>
      <x:c r="G183" s="60" t="str">
        <x:v>63</x:v>
      </x:c>
      <x:c r="H183" s="60" t="str">
        <x:v>729</x:v>
      </x:c>
      <x:c r="I183" s="60" t="str">
        <x:v>567</x:v>
      </x:c>
      <x:c r="J183" s="60" t="str">
        <x:v>63</x:v>
      </x:c>
      <x:c r="K183" s="60" t="str">
        <x:v>Prime factorisation of the stated numbers gives 63.</x:v>
      </x:c>
      <x:c r="L183" s="60" t="str">
        <x:v>WX1YZ/5</x:v>
      </x:c>
      <x:c r="M183" s="60" t="str">
        <x:v>Mathematics</x:v>
      </x:c>
      <x:c r="N183" s="60" t="str">
        <x:v>Mathematical notation requires reconstruction</x:v>
      </x:c>
      <x:c r="O183" s="60" t="str">
        <x:v>Correct from a reliable source, independently verify the answer, then rescreen.</x:v>
      </x:c>
    </x:row>
    <x:row r="184">
      <x:c r="A184" s="62" t="n">
        <x:v>331</x:v>
      </x:c>
      <x:c r="B184" s="60" t="str">
        <x:v>Mathematics</x:v>
      </x:c>
      <x:c r="C184" s="60" t="str">
        <x:v>Hard</x:v>
      </x:c>
      <x:c r="D184" s="60" t="str">
        <x:v>Trigonometry</x:v>
      </x:c>
      <x:c r="E184" s="60" t="str">
        <x:v>If sin = 43, then sin cos 1) (sec22 equals</x:v>
      </x:c>
      <x:c r="F184" s="60" t="str">
        <x:v>53</x:v>
      </x:c>
      <x:c r="G184" s="60" t="str">
        <x:v>43</x:v>
      </x:c>
      <x:c r="H184" s="60" t="str">
        <x:v>34</x:v>
      </x:c>
      <x:c r="I184" s="60" t="str">
        <x:v>169</x:v>
      </x:c>
      <x:c r="J184" s="60" t="str">
        <x:v>43</x:v>
      </x:c>
      <x:c r="K184" s="60" t="str">
        <x:v>Using the standard trigonometric identity gives 43.</x:v>
      </x:c>
      <x:c r="L184" s="60" t="str">
        <x:v>WX1YZ/5</x:v>
      </x:c>
      <x:c r="M184" s="60" t="str">
        <x:v>Mathematics</x:v>
      </x:c>
      <x:c r="N184" s="60" t="str">
        <x:v>Mathematical notation requires reconstruction; Trigonometric expression is unreadable.</x:v>
      </x:c>
      <x:c r="O184" s="60" t="str">
        <x:v>Correct from a reliable source, independently verify the answer, then rescreen.</x:v>
      </x:c>
    </x:row>
    <x:row r="185">
      <x:c r="A185" s="62" t="n">
        <x:v>332</x:v>
      </x:c>
      <x:c r="B185" s="60" t="str">
        <x:v>Mathematics</x:v>
      </x:c>
      <x:c r="C185" s="60" t="str">
        <x:v>Easy</x:v>
      </x:c>
      <x:c r="D185" s="60" t="str">
        <x:v>General Mathematics</x:v>
      </x:c>
      <x:c r="E185" s="60" t="str">
        <x:v>In the given figure, AD = 2 cm, DB = 3 cm, DE = 2·5 cm and DE BC. The value of x is</x:v>
      </x:c>
      <x:c r="F185" s="60" t="str">
        <x:v>6 cm</x:v>
      </x:c>
      <x:c r="G185" s="60" t="str">
        <x:v>3·75 cm</x:v>
      </x:c>
      <x:c r="H185" s="60" t="str">
        <x:v>6·25 cm</x:v>
      </x:c>
      <x:c r="I185" s="60" t="str">
        <x:v>7·5 cm</x:v>
      </x:c>
      <x:c r="J185" s="60" t="str">
        <x:v>3·75 cm</x:v>
      </x:c>
      <x:c r="K185" s="60" t="str">
        <x:v>Substituting the given values for “In the given figure AD 2 cm” gives 3·75 cm.</x:v>
      </x:c>
      <x:c r="L185" s="60" t="str">
        <x:v>WX1YZ/5</x:v>
      </x:c>
      <x:c r="M185" s="60" t="str">
        <x:v>Mathematics</x:v>
      </x:c>
      <x:c r="N185" s="60" t="str">
        <x:v>Visual or diagram required but unavailable</x:v>
      </x:c>
      <x:c r="O185" s="60" t="str">
        <x:v>Exclude until a visual is created or replace with a self-contained question.</x:v>
      </x:c>
    </x:row>
    <x:row r="186">
      <x:c r="A186" s="62" t="n">
        <x:v>333</x:v>
      </x:c>
      <x:c r="B186" s="60" t="str">
        <x:v>Mathematics</x:v>
      </x:c>
      <x:c r="C186" s="60" t="str">
        <x:v>Hard</x:v>
      </x:c>
      <x:c r="D186" s="60" t="str">
        <x:v>Trigonometry</x:v>
      </x:c>
      <x:c r="E186" s="60" t="str">
        <x:v>In the given figure, O is the centre of the circle and PA is a tangent to the circle. If OAB = 60, then OPA is equal to</x:v>
      </x:c>
      <x:c r="F186" s="60" t="str">
        <x:v>60</x:v>
      </x:c>
      <x:c r="G186" s="60" t="str">
        <x:v>30</x:v>
      </x:c>
      <x:c r="H186" s="60" t="str">
        <x:v>15</x:v>
      </x:c>
      <x:c r="I186" s="60" t="str">
        <x:v>20</x:v>
      </x:c>
      <x:c r="J186" s="60" t="str">
        <x:v>30</x:v>
      </x:c>
      <x:c r="K186" s="60" t="str">
        <x:v>The relevant circle measure for “In the given figure O is the” is 30.</x:v>
      </x:c>
      <x:c r="L186" s="60" t="str">
        <x:v>WX1YZ/5</x:v>
      </x:c>
      <x:c r="M186" s="60" t="str">
        <x:v>Mathematics</x:v>
      </x:c>
      <x:c r="N186" s="60" t="str">
        <x:v>Visual or diagram required but unavailable; Mathematical notation requires reconstruction</x:v>
      </x:c>
      <x:c r="O186" s="60" t="str">
        <x:v>Exclude until a visual is created or replace with a self-contained question.</x:v>
      </x:c>
    </x:row>
    <x:row r="187">
      <x:c r="A187" s="62" t="n">
        <x:v>334</x:v>
      </x:c>
      <x:c r="B187" s="60" t="str">
        <x:v>Mathematics</x:v>
      </x:c>
      <x:c r="C187" s="60" t="str">
        <x:v>Easy</x:v>
      </x:c>
      <x:c r="D187" s="60" t="str">
        <x:v>Probability</x:v>
      </x:c>
      <x:c r="E187" s="60" t="str">
        <x:v>One card is drawn at random from a well shuffled deck of 52 playing cards. The probability that it is a red king is</x:v>
      </x:c>
      <x:c r="F187" s="60" t="str">
        <x:v>521</x:v>
      </x:c>
      <x:c r="G187" s="60" t="str">
        <x:v>261</x:v>
      </x:c>
      <x:c r="H187" s="60" t="str">
        <x:v>262</x:v>
      </x:c>
      <x:c r="I187" s="60" t="str">
        <x:v>132</x:v>
      </x:c>
      <x:c r="J187" s="60" t="str">
        <x:v>261</x:v>
      </x:c>
      <x:c r="K187" s="60" t="str">
        <x:v>Favourable outcomes divided by all equally likely outcomes gives 261.</x:v>
      </x:c>
      <x:c r="L187" s="60" t="str">
        <x:v>WX1YZ/5</x:v>
      </x:c>
      <x:c r="M187" s="60" t="str">
        <x:v>Mathematics</x:v>
      </x:c>
      <x:c r="N187" s="60" t="str">
        <x:v>Mathematical notation requires reconstruction</x:v>
      </x:c>
      <x:c r="O187" s="60" t="str">
        <x:v>Correct from a reliable source, independently verify the answer, then rescreen.</x:v>
      </x:c>
    </x:row>
    <x:row r="188">
      <x:c r="A188" s="62" t="n">
        <x:v>335</x:v>
      </x:c>
      <x:c r="B188" s="60" t="str">
        <x:v>Mathematics</x:v>
      </x:c>
      <x:c r="C188" s="60" t="str">
        <x:v>Easy</x:v>
      </x:c>
      <x:c r="D188" s="60" t="str">
        <x:v>General Mathematics</x:v>
      </x:c>
      <x:c r="E188" s="60" t="str">
        <x:v>The sum of the first 50 odd natural numbers is</x:v>
      </x:c>
      <x:c r="F188" s="60" t="str">
        <x:v>5000</x:v>
      </x:c>
      <x:c r="G188" s="60" t="str">
        <x:v>2500</x:v>
      </x:c>
      <x:c r="H188" s="60" t="str">
        <x:v>2550</x:v>
      </x:c>
      <x:c r="I188" s="60" t="str">
        <x:v>5050</x:v>
      </x:c>
      <x:c r="J188" s="60" t="str">
        <x:v>2500</x:v>
      </x:c>
      <x:c r="K188" s="60" t="str">
        <x:v>Substituting the given values for “The sum of the first 50 odd” gives 2500.</x:v>
      </x:c>
      <x:c r="L188" s="60" t="str">
        <x:v>WX1YZ/5</x:v>
      </x:c>
      <x:c r="M188" s="60" t="str">
        <x:v>Mathematics</x:v>
      </x:c>
      <x:c r="N188" s="60" t="str">
        <x:v>Mathematical notation requires reconstruction</x:v>
      </x:c>
      <x:c r="O188" s="60" t="str">
        <x:v>Correct from a reliable source, independently verify the answer, then rescreen.</x:v>
      </x:c>
    </x:row>
    <x:row r="189">
      <x:c r="A189" s="62" t="n">
        <x:v>338</x:v>
      </x:c>
      <x:c r="B189" s="60" t="str">
        <x:v>Mathematics</x:v>
      </x:c>
      <x:c r="C189" s="60" t="str">
        <x:v>Easy</x:v>
      </x:c>
      <x:c r="D189" s="60" t="str">
        <x:v>Statistics</x:v>
      </x:c>
      <x:c r="E189" s="60" t="str">
        <x:v>If the mean and the median of a data are 12 and 15 respectively, then its mode is</x:v>
      </x:c>
      <x:c r="F189" s="60" t="str">
        <x:v>13·5</x:v>
      </x:c>
      <x:c r="G189" s="60" t="str">
        <x:v>21</x:v>
      </x:c>
      <x:c r="H189" s="60" t="str">
        <x:v>6</x:v>
      </x:c>
      <x:c r="I189" s="60" t="str">
        <x:v>14</x:v>
      </x:c>
      <x:c r="J189" s="60" t="str">
        <x:v>21</x:v>
      </x:c>
      <x:c r="K189" s="60" t="str">
        <x:v>Substituting the given data in the statistics formula gives 21.</x:v>
      </x:c>
      <x:c r="L189" s="60" t="str">
        <x:v>WX1YZ/5</x:v>
      </x:c>
      <x:c r="M189" s="60" t="str">
        <x:v>Mathematics</x:v>
      </x:c>
      <x:c r="N189" s="60" t="str">
        <x:v>Mathematical notation requires reconstruction</x:v>
      </x:c>
      <x:c r="O189" s="60" t="str">
        <x:v>Correct from a reliable source, independently verify the answer, then rescreen.</x:v>
      </x:c>
    </x:row>
    <x:row r="190">
      <x:c r="A190" s="62" t="n">
        <x:v>339</x:v>
      </x:c>
      <x:c r="B190" s="60" t="str">
        <x:v>Mathematics</x:v>
      </x:c>
      <x:c r="C190" s="60" t="str">
        <x:v>Easy</x:v>
      </x:c>
      <x:c r="D190" s="60" t="str">
        <x:v>General Mathematics</x:v>
      </x:c>
      <x:c r="E190" s="60" t="str">
        <x:v>In the given figure, AB = BC = 10 cm. If AC = 7 cm, then the length of BP is</x:v>
      </x:c>
      <x:c r="F190" s="60" t="str">
        <x:v>3·5 cm</x:v>
      </x:c>
      <x:c r="G190" s="60" t="str">
        <x:v>7 cm</x:v>
      </x:c>
      <x:c r="H190" s="60" t="str">
        <x:v>6·5 cm</x:v>
      </x:c>
      <x:c r="I190" s="60" t="str">
        <x:v>5 cm</x:v>
      </x:c>
      <x:c r="J190" s="60" t="str">
        <x:v>6·5 cm</x:v>
      </x:c>
      <x:c r="K190" s="60" t="str">
        <x:v>Substituting the given values for “In the given figure AB BC 10” gives 6·5 cm.</x:v>
      </x:c>
      <x:c r="L190" s="60" t="str">
        <x:v>WX1YZ/5</x:v>
      </x:c>
      <x:c r="M190" s="60" t="str">
        <x:v>Mathematics</x:v>
      </x:c>
      <x:c r="N190" s="60" t="str">
        <x:v>Visual or diagram required but unavailable</x:v>
      </x:c>
      <x:c r="O190" s="60" t="str">
        <x:v>Exclude until a visual is created or replace with a self-contained question.</x:v>
      </x:c>
    </x:row>
    <x:row r="191">
      <x:c r="A191" s="62" t="n">
        <x:v>340</x:v>
      </x:c>
      <x:c r="B191" s="60" t="str">
        <x:v>Mathematics</x:v>
      </x:c>
      <x:c r="C191" s="60" t="str">
        <x:v>Hard</x:v>
      </x:c>
      <x:c r="D191" s="60" t="str">
        <x:v>Trigonometry</x:v>
      </x:c>
      <x:c r="E191" s="60" t="str">
        <x:v>In the given figure, AC and AB are tangents to a circle centered at O. If COD = 120, then BAO is equal to</x:v>
      </x:c>
      <x:c r="F191" s="60" t="str">
        <x:v>30</x:v>
      </x:c>
      <x:c r="G191" s="60" t="str">
        <x:v>60</x:v>
      </x:c>
      <x:c r="H191" s="60" t="str">
        <x:v>45</x:v>
      </x:c>
      <x:c r="I191" s="60" t="str">
        <x:v>90</x:v>
      </x:c>
      <x:c r="J191" s="60" t="str">
        <x:v>30</x:v>
      </x:c>
      <x:c r="K191" s="60" t="str">
        <x:v>The relevant circle measure for “In the given figure AC and AB” is 30.</x:v>
      </x:c>
      <x:c r="L191" s="60" t="str">
        <x:v>WX1YZ/5</x:v>
      </x:c>
      <x:c r="M191" s="60" t="str">
        <x:v>Mathematics</x:v>
      </x:c>
      <x:c r="N191" s="60" t="str">
        <x:v>Visual or diagram required but unavailable; Mathematical notation requires reconstruction</x:v>
      </x:c>
      <x:c r="O191" s="60" t="str">
        <x:v>Exclude until a visual is created or replace with a self-contained question.</x:v>
      </x:c>
    </x:row>
    <x:row r="192">
      <x:c r="A192" s="62" t="n">
        <x:v>341</x:v>
      </x:c>
      <x:c r="B192" s="60" t="str">
        <x:v>Mathematics</x:v>
      </x:c>
      <x:c r="C192" s="60" t="str">
        <x:v>Easy</x:v>
      </x:c>
      <x:c r="D192" s="60" t="str">
        <x:v>General Mathematics</x:v>
      </x:c>
      <x:c r="E192" s="60" t="str">
        <x:v>In the given figure, DE BC. The value of x is</x:v>
      </x:c>
      <x:c r="F192" s="60" t="str">
        <x:v>6</x:v>
      </x:c>
      <x:c r="G192" s="60" t="str">
        <x:v>12·5</x:v>
      </x:c>
      <x:c r="H192" s="60" t="str">
        <x:v>8</x:v>
      </x:c>
      <x:c r="I192" s="60" t="str">
        <x:v>10</x:v>
      </x:c>
      <x:c r="J192" s="60" t="str">
        <x:v>10</x:v>
      </x:c>
      <x:c r="K192" s="60" t="str">
        <x:v>Substituting the given values for “In the given figure DE BC The” gives 10.</x:v>
      </x:c>
      <x:c r="L192" s="60" t="str">
        <x:v>WX1YZ/5</x:v>
      </x:c>
      <x:c r="M192" s="60" t="str">
        <x:v>Mathematics</x:v>
      </x:c>
      <x:c r="N192" s="60" t="str">
        <x:v>Visual or diagram required but unavailable; Mathematical notation requires reconstruction</x:v>
      </x:c>
      <x:c r="O192" s="60" t="str">
        <x:v>Exclude until a visual is created or replace with a self-contained question.</x:v>
      </x:c>
    </x:row>
    <x:row r="193">
      <x:c r="A193" s="62" t="n">
        <x:v>342</x:v>
      </x:c>
      <x:c r="B193" s="60" t="str">
        <x:v>Mathematics</x:v>
      </x:c>
      <x:c r="C193" s="60" t="str">
        <x:v>Easy</x:v>
      </x:c>
      <x:c r="D193" s="60" t="str">
        <x:v>Sequences</x:v>
      </x:c>
      <x:c r="E193" s="60" t="str">
        <x:v>The 11th term from the end of the A.P. : 10, 7, 4, ......., 62 is</x:v>
      </x:c>
      <x:c r="F193" s="60" t="str">
        <x:v>25</x:v>
      </x:c>
      <x:c r="G193" s="60" t="str">
        <x:v>16</x:v>
      </x:c>
      <x:c r="H193" s="60" t="str">
        <x:v>32</x:v>
      </x:c>
      <x:c r="I193" s="60" t="str">
        <x:v>0</x:v>
      </x:c>
      <x:c r="J193" s="60" t="str">
        <x:v>32</x:v>
      </x:c>
      <x:c r="K193" s="60" t="str">
        <x:v>Applying the arithmetic-progression relation gives 32.</x:v>
      </x:c>
      <x:c r="L193" s="60" t="str">
        <x:v>WX1YZ/5</x:v>
      </x:c>
      <x:c r="M193" s="60" t="str">
        <x:v>Mathematics</x:v>
      </x:c>
      <x:c r="N193" s="60" t="str">
        <x:v>Mathematical notation requires reconstruction</x:v>
      </x:c>
      <x:c r="O193" s="60" t="str">
        <x:v>Correct from a reliable source, independently verify the answer, then rescreen.</x:v>
      </x:c>
    </x:row>
    <x:row r="194">
      <x:c r="A194" s="62" t="n">
        <x:v>343</x:v>
      </x:c>
      <x:c r="B194" s="60" t="str">
        <x:v>Mathematics</x:v>
      </x:c>
      <x:c r="C194" s="60" t="str">
        <x:v>Easy</x:v>
      </x:c>
      <x:c r="D194" s="60" t="str">
        <x:v>Sequences</x:v>
      </x:c>
      <x:c r="E194" s="60" t="str">
        <x:v>The common difference of the A.P. whose nth term is given by an = 3n + 7, is</x:v>
      </x:c>
      <x:c r="F194" s="60" t="str">
        <x:v>7</x:v>
      </x:c>
      <x:c r="G194" s="60" t="str">
        <x:v>3</x:v>
      </x:c>
      <x:c r="H194" s="60" t="str">
        <x:v>3n</x:v>
      </x:c>
      <x:c r="I194" s="60" t="str">
        <x:v>1</x:v>
      </x:c>
      <x:c r="J194" s="60" t="str">
        <x:v>3</x:v>
      </x:c>
      <x:c r="K194" s="60" t="str">
        <x:v>Applying the arithmetic-progression relation gives 3.</x:v>
      </x:c>
      <x:c r="L194" s="60" t="str">
        <x:v>WX1YZ/5</x:v>
      </x:c>
      <x:c r="M194" s="60" t="str">
        <x:v>Mathematics</x:v>
      </x:c>
      <x:c r="N194" s="60" t="str">
        <x:v>Mathematical notation requires reconstruction</x:v>
      </x:c>
      <x:c r="O194" s="60" t="str">
        <x:v>Correct from a reliable source, independently verify the answer, then rescreen.</x:v>
      </x:c>
    </x:row>
    <x:row r="195">
      <x:c r="A195" s="62" t="n">
        <x:v>344</x:v>
      </x:c>
      <x:c r="B195" s="60" t="str">
        <x:v>Mathematics</x:v>
      </x:c>
      <x:c r="C195" s="60" t="str">
        <x:v>Hard</x:v>
      </x:c>
      <x:c r="D195" s="60" t="str">
        <x:v>Trigonometry</x:v>
      </x:c>
      <x:c r="E195" s="60" t="str">
        <x:v>The distance between the points P 5,311 and Q 5,32 is</x:v>
      </x:c>
      <x:c r="F195" s="60" t="str">
        <x:v>6 units</x:v>
      </x:c>
      <x:c r="G195" s="60" t="str">
        <x:v>4 units</x:v>
      </x:c>
      <x:c r="H195" s="60" t="str">
        <x:v>2 units</x:v>
      </x:c>
      <x:c r="I195" s="60" t="str">
        <x:v>3 units</x:v>
      </x:c>
      <x:c r="J195" s="60" t="str">
        <x:v>3 units</x:v>
      </x:c>
      <x:c r="K195" s="60" t="str">
        <x:v>The coordinate formula for “The distance between the points P 5” gives 3 units.</x:v>
      </x:c>
      <x:c r="L195" s="60" t="str">
        <x:v>WX1YZ/5</x:v>
      </x:c>
      <x:c r="M195" s="60" t="str">
        <x:v>Mathematics</x:v>
      </x:c>
      <x:c r="N195" s="60" t="str">
        <x:v>Coordinate notation is unreadable.</x:v>
      </x:c>
      <x:c r="O195" s="60" t="str">
        <x:v>Correct from a reliable source, independently verify the answer, then rescreen.</x:v>
      </x:c>
    </x:row>
    <x:row r="196">
      <x:c r="A196" s="62" t="n">
        <x:v>346</x:v>
      </x:c>
      <x:c r="B196" s="60" t="str">
        <x:v>Mathematics</x:v>
      </x:c>
      <x:c r="C196" s="60" t="str">
        <x:v>Easy</x:v>
      </x:c>
      <x:c r="D196" s="60" t="str">
        <x:v>Probability</x:v>
      </x:c>
      <x:c r="E196" s="60" t="str">
        <x:v>Two coins are tossed together. The probability of getting at least one tail is</x:v>
      </x:c>
      <x:c r="F196" s="60" t="str">
        <x:v>41</x:v>
      </x:c>
      <x:c r="G196" s="60" t="str">
        <x:v>21</x:v>
      </x:c>
      <x:c r="H196" s="60" t="str">
        <x:v>43</x:v>
      </x:c>
      <x:c r="I196" s="60" t="str">
        <x:v>1</x:v>
      </x:c>
      <x:c r="J196" s="60" t="str">
        <x:v>43</x:v>
      </x:c>
      <x:c r="K196" s="60" t="str">
        <x:v>Favourable outcomes divided by all equally likely outcomes gives 43.</x:v>
      </x:c>
      <x:c r="L196" s="60" t="str">
        <x:v>WX1YZ/5</x:v>
      </x:c>
      <x:c r="M196" s="60" t="str">
        <x:v>Mathematics</x:v>
      </x:c>
      <x:c r="N196" s="60" t="str">
        <x:v>Mathematical notation requires reconstruction</x:v>
      </x:c>
      <x:c r="O196" s="60" t="str">
        <x:v>Correct from a reliable source, independently verify the answer, then rescreen.</x:v>
      </x:c>
    </x:row>
    <x:row r="197">
      <x:c r="A197" s="62" t="n">
        <x:v>351</x:v>
      </x:c>
      <x:c r="B197" s="60" t="str">
        <x:v>Mathematics</x:v>
      </x:c>
      <x:c r="C197" s="60" t="str">
        <x:v>Easy</x:v>
      </x:c>
      <x:c r="D197" s="60" t="str">
        <x:v>Probability</x:v>
      </x:c>
      <x:c r="E197" s="60" t="str">
        <x:v>Two dice are rolled together. What is the probability of getting a sum greater than 10?</x:v>
      </x:c>
      <x:c r="F197" s="60" t="str">
        <x:v>91</x:v>
      </x:c>
      <x:c r="G197" s="60" t="str">
        <x:v>61</x:v>
      </x:c>
      <x:c r="H197" s="60" t="str">
        <x:v>121</x:v>
      </x:c>
      <x:c r="I197" s="60" t="str">
        <x:v>185</x:v>
      </x:c>
      <x:c r="J197" s="60" t="str">
        <x:v>121</x:v>
      </x:c>
      <x:c r="K197" s="60" t="str">
        <x:v>Favourable outcomes divided by all equally likely outcomes gives 121.</x:v>
      </x:c>
      <x:c r="L197" s="60" t="str">
        <x:v>WX1YZ/5</x:v>
      </x:c>
      <x:c r="M197" s="60" t="str">
        <x:v>Mathematics</x:v>
      </x:c>
      <x:c r="N197" s="60" t="str">
        <x:v>Mathematical notation requires reconstruction</x:v>
      </x:c>
      <x:c r="O197" s="60" t="str">
        <x:v>Correct from a reliable source, independently verify the answer, then rescreen.</x:v>
      </x:c>
    </x:row>
    <x:row r="198">
      <x:c r="A198" s="62" t="n">
        <x:v>352</x:v>
      </x:c>
      <x:c r="B198" s="60" t="str">
        <x:v>Mathematics</x:v>
      </x:c>
      <x:c r="C198" s="60" t="str">
        <x:v>Hard</x:v>
      </x:c>
      <x:c r="D198" s="60" t="str">
        <x:v>Trigonometry</x:v>
      </x:c>
      <x:c r="E198" s="60" t="str">
        <x:v>If sec tan = 31, then the value of (sec + tan ) is</x:v>
      </x:c>
      <x:c r="F198" s="60" t="str">
        <x:v>34</x:v>
      </x:c>
      <x:c r="G198" s="60" t="str">
        <x:v>32</x:v>
      </x:c>
      <x:c r="H198" s="60" t="str">
        <x:v>31</x:v>
      </x:c>
      <x:c r="I198" s="60" t="str">
        <x:v>3</x:v>
      </x:c>
      <x:c r="J198" s="60" t="str">
        <x:v>3</x:v>
      </x:c>
      <x:c r="K198" s="60" t="str">
        <x:v>Using the standard trigonometric identity gives 3.</x:v>
      </x:c>
      <x:c r="L198" s="60" t="str">
        <x:v>WX1YZ/5</x:v>
      </x:c>
      <x:c r="M198" s="60" t="str">
        <x:v>Mathematics</x:v>
      </x:c>
      <x:c r="N198" s="60" t="str">
        <x:v>Mathematical notation requires reconstruction; Trigonometric expression is unreadable.</x:v>
      </x:c>
      <x:c r="O198" s="60" t="str">
        <x:v>Correct from a reliable source, independently verify the answer, then rescreen.</x:v>
      </x:c>
    </x:row>
    <x:row r="199">
      <x:c r="A199" s="62" t="n">
        <x:v>353</x:v>
      </x:c>
      <x:c r="B199" s="60" t="str">
        <x:v>Mathematics</x:v>
      </x:c>
      <x:c r="C199" s="60" t="str">
        <x:v>Easy</x:v>
      </x:c>
      <x:c r="D199" s="60" t="str">
        <x:v>Statistics</x:v>
      </x:c>
      <x:c r="E199" s="60" t="str">
        <x:v>If the mean and the mode of a distribution are 15 and 18 respectively, then the median of the distribution is</x:v>
      </x:c>
      <x:c r="F199" s="60" t="str">
        <x:v>17</x:v>
      </x:c>
      <x:c r="G199" s="60" t="str">
        <x:v>15</x:v>
      </x:c>
      <x:c r="H199" s="60" t="str">
        <x:v>16</x:v>
      </x:c>
      <x:c r="I199" s="60" t="str">
        <x:v>18</x:v>
      </x:c>
      <x:c r="J199" s="60" t="str">
        <x:v>16</x:v>
      </x:c>
      <x:c r="K199" s="60" t="str">
        <x:v>Substituting the given data in the statistics formula gives 16.</x:v>
      </x:c>
      <x:c r="L199" s="60" t="str">
        <x:v>WX1YZ/5</x:v>
      </x:c>
      <x:c r="M199" s="60" t="str">
        <x:v>Mathematics</x:v>
      </x:c>
      <x:c r="N199" s="60" t="str">
        <x:v>Mathematical notation requires reconstruction</x:v>
      </x:c>
      <x:c r="O199" s="60" t="str">
        <x:v>Correct from a reliable source, independently verify the answer, then rescreen.</x:v>
      </x:c>
    </x:row>
    <x:row r="200">
      <x:c r="A200" s="62" t="n">
        <x:v>354</x:v>
      </x:c>
      <x:c r="B200" s="60" t="str">
        <x:v>Mathematics</x:v>
      </x:c>
      <x:c r="C200" s="60" t="str">
        <x:v>Hard</x:v>
      </x:c>
      <x:c r="D200" s="60" t="str">
        <x:v>Trigonometry</x:v>
      </x:c>
      <x:c r="E200" s="60" t="str">
        <x:v>In the given figure, AB is a tangent to the circle centered at O. If OA = 6 cm and OAB = 30, then the radius of the circle is</x:v>
      </x:c>
      <x:c r="F200" s="60" t="str">
        <x:v>3 cm</x:v>
      </x:c>
      <x:c r="G200" s="60" t="str">
        <x:v>33 cm</x:v>
      </x:c>
      <x:c r="H200" s="60" t="str">
        <x:v>2 cm</x:v>
      </x:c>
      <x:c r="I200" s="60" t="str">
        <x:v>3 cm</x:v>
      </x:c>
      <x:c r="J200" s="60" t="str">
        <x:v>3 cm</x:v>
      </x:c>
      <x:c r="K200" s="60" t="str">
        <x:v>The relevant circle measure for “In the given figure AB is a” is 3 cm.</x:v>
      </x:c>
      <x:c r="L200" s="60" t="str">
        <x:v>WX1YZ/5</x:v>
      </x:c>
      <x:c r="M200" s="60" t="str">
        <x:v>Mathematics</x:v>
      </x:c>
      <x:c r="N200" s="60" t="str">
        <x:v>Visual or diagram required but unavailable; Duplicate answer options; Stored answer matches more than one option; Missing figure and duplicated correct option.</x:v>
      </x:c>
      <x:c r="O200" s="60" t="str">
        <x:v>Exclude until a visual is created or replace with a self-contained question.</x:v>
      </x:c>
    </x:row>
    <x:row r="201">
      <x:c r="A201" s="62" t="n">
        <x:v>355</x:v>
      </x:c>
      <x:c r="B201" s="60" t="str">
        <x:v>Mathematics</x:v>
      </x:c>
      <x:c r="C201" s="60" t="str">
        <x:v>Easy</x:v>
      </x:c>
      <x:c r="D201" s="60" t="str">
        <x:v>Probability</x:v>
      </x:c>
      <x:c r="E201" s="60" t="str">
        <x:v>One card is drawn at random from a well shuffled pack of 52 playing cards. The probability that the drawn card is a queen, is</x:v>
      </x:c>
      <x:c r="F201" s="60" t="str">
        <x:v>134</x:v>
      </x:c>
      <x:c r="G201" s="60" t="str">
        <x:v>524</x:v>
      </x:c>
      <x:c r="H201" s="60" t="str">
        <x:v>132</x:v>
      </x:c>
      <x:c r="I201" s="60" t="str">
        <x:v>261</x:v>
      </x:c>
      <x:c r="J201" s="60" t="str">
        <x:v>524</x:v>
      </x:c>
      <x:c r="K201" s="60" t="str">
        <x:v>Favourable outcomes divided by all equally likely outcomes gives 524.</x:v>
      </x:c>
      <x:c r="L201" s="60" t="str">
        <x:v>WX1YZ/5</x:v>
      </x:c>
      <x:c r="M201" s="60" t="str">
        <x:v>Mathematics</x:v>
      </x:c>
      <x:c r="N201" s="60" t="str">
        <x:v>Mathematical notation requires reconstruction</x:v>
      </x:c>
      <x:c r="O201" s="60" t="str">
        <x:v>Correct from a reliable source, independently verify the answer, then rescreen.</x:v>
      </x:c>
    </x:row>
    <x:row r="202">
      <x:c r="A202" s="62" t="n">
        <x:v>356</x:v>
      </x:c>
      <x:c r="B202" s="60" t="str">
        <x:v>Mathematics</x:v>
      </x:c>
      <x:c r="C202" s="60" t="str">
        <x:v>Hard</x:v>
      </x:c>
      <x:c r="D202" s="60" t="str">
        <x:v>Trigonometry</x:v>
      </x:c>
      <x:c r="E202" s="60" t="str">
        <x:v>PQ is tangent to a circle centered at O. If the radius of the circle is 5 cm, then the length of the tangent PQ is</x:v>
      </x:c>
      <x:c r="F202" s="60" t="str">
        <x:v>35 cm</x:v>
      </x:c>
      <x:c r="G202" s="60" t="str">
        <x:v>310 cm</x:v>
      </x:c>
      <x:c r="H202" s="60" t="str">
        <x:v>10 cm</x:v>
      </x:c>
      <x:c r="I202" s="60" t="str">
        <x:v>35 cm</x:v>
      </x:c>
      <x:c r="J202" s="60" t="str">
        <x:v>35 cm</x:v>
      </x:c>
      <x:c r="K202" s="60" t="str">
        <x:v>The relevant circle measure for “PQ is tangent to a circle centered” is 35 cm.</x:v>
      </x:c>
      <x:c r="L202" s="60" t="str">
        <x:v>WX1YZ/5</x:v>
      </x:c>
      <x:c r="M202" s="60" t="str">
        <x:v>Mathematics</x:v>
      </x:c>
      <x:c r="N202" s="60" t="str">
        <x:v>Duplicate answer options; Stored answer matches more than one option; Required geometry measurement is missing and options are duplicated.</x:v>
      </x:c>
      <x:c r="O202" s="60" t="str">
        <x:v>Correct from a reliable source, independently verify the answer, then rescreen.</x:v>
      </x:c>
    </x:row>
    <x:row r="203">
      <x:c r="A203" s="62" t="n">
        <x:v>357</x:v>
      </x:c>
      <x:c r="B203" s="60" t="str">
        <x:v>Mathematics</x:v>
      </x:c>
      <x:c r="C203" s="60" t="str">
        <x:v>Easy</x:v>
      </x:c>
      <x:c r="D203" s="60" t="str">
        <x:v>Probability</x:v>
      </x:c>
      <x:c r="E203" s="60" t="str">
        <x:v>A die is rolled once. The probability that the obtained number is more than 5, is</x:v>
      </x:c>
      <x:c r="F203" s="60" t="str">
        <x:v>65</x:v>
      </x:c>
      <x:c r="G203" s="60" t="str">
        <x:v>61</x:v>
      </x:c>
      <x:c r="H203" s="60" t="str">
        <x:v>32</x:v>
      </x:c>
      <x:c r="I203" s="60" t="str">
        <x:v>31</x:v>
      </x:c>
      <x:c r="J203" s="60" t="str">
        <x:v>32</x:v>
      </x:c>
      <x:c r="K203" s="60" t="str">
        <x:v>Favourable outcomes divided by all equally likely outcomes gives 32.</x:v>
      </x:c>
      <x:c r="L203" s="60" t="str">
        <x:v>WX1YZ/C</x:v>
      </x:c>
      <x:c r="M203" s="60" t="str">
        <x:v>Mathematics</x:v>
      </x:c>
      <x:c r="N203" s="60" t="str">
        <x:v>Mathematical notation requires reconstruction</x:v>
      </x:c>
      <x:c r="O203" s="60" t="str">
        <x:v>Correct from a reliable source, independently verify the answer, then rescreen.</x:v>
      </x:c>
    </x:row>
    <x:row r="204">
      <x:c r="A204" s="62" t="n">
        <x:v>358</x:v>
      </x:c>
      <x:c r="B204" s="60" t="str">
        <x:v>Mathematics</x:v>
      </x:c>
      <x:c r="C204" s="60" t="str">
        <x:v>Hard</x:v>
      </x:c>
      <x:c r="D204" s="60" t="str">
        <x:v>Quadratic Equations &amp; Polynomials</x:v>
      </x:c>
      <x:c r="E204" s="60" t="str">
        <x:v>A quadratic polynomial having zeroes 7 and 0 is</x:v>
      </x:c>
      <x:c r="F204" s="60" t="str">
        <x:v>x (x2</x:v>
      </x:c>
      <x:c r="G204" s="60" t="str">
        <x:v>7x2</x:v>
      </x:c>
      <x:c r="H204" s="60" t="str">
        <x:v>71 (x2 x)</x:v>
      </x:c>
      <x:c r="I204" s="60" t="str">
        <x:v>7 (x2 7x)</x:v>
      </x:c>
      <x:c r="J204" s="60" t="str">
        <x:v>7x2</x:v>
      </x:c>
      <x:c r="K204" s="60" t="str">
        <x:v>Substituting the given values for “A quadratic polynomial having zeroes 7 and” gives 7x2.</x:v>
      </x:c>
      <x:c r="L204" s="60" t="str">
        <x:v>WX1YZ/C</x:v>
      </x:c>
      <x:c r="M204" s="60" t="str">
        <x:v>Mathematics</x:v>
      </x:c>
      <x:c r="N204" s="60" t="str">
        <x:v>Mathematical notation requires reconstruction; Polynomial notation and stored key are corrupted.</x:v>
      </x:c>
      <x:c r="O204" s="60" t="str">
        <x:v>Correct from a reliable source, independently verify the answer, then rescreen.</x:v>
      </x:c>
    </x:row>
    <x:row r="205">
      <x:c r="A205" s="62" t="n">
        <x:v>359</x:v>
      </x:c>
      <x:c r="B205" s="60" t="str">
        <x:v>Mathematics</x:v>
      </x:c>
      <x:c r="C205" s="60" t="str">
        <x:v>Hard</x:v>
      </x:c>
      <x:c r="D205" s="60" t="str">
        <x:v>Trigonometry</x:v>
      </x:c>
      <x:c r="E205" s="60" t="str">
        <x:v>If cosec A = 57, then value of tan A . cos A is</x:v>
      </x:c>
      <x:c r="F205" s="60" t="str">
        <x:v>57</x:v>
      </x:c>
      <x:c r="G205" s="60" t="str">
        <x:v>562</x:v>
      </x:c>
      <x:c r="H205" s="60" t="str">
        <x:v>4924</x:v>
      </x:c>
      <x:c r="I205" s="60" t="str">
        <x:v>75</x:v>
      </x:c>
      <x:c r="J205" s="60" t="str">
        <x:v>4924</x:v>
      </x:c>
      <x:c r="K205" s="60" t="str">
        <x:v>Using the standard trigonometric identity gives 4924.</x:v>
      </x:c>
      <x:c r="L205" s="60" t="str">
        <x:v>WX1YZ/C</x:v>
      </x:c>
      <x:c r="M205" s="60" t="str">
        <x:v>Mathematics</x:v>
      </x:c>
      <x:c r="N205" s="60" t="str">
        <x:v>Mathematical notation requires reconstruction; Trigonometric fractions are unreadable.</x:v>
      </x:c>
      <x:c r="O205" s="60" t="str">
        <x:v>Correct from a reliable source, independently verify the answer, then rescreen.</x:v>
      </x:c>
    </x:row>
    <x:row r="206">
      <x:c r="A206" s="62" t="n">
        <x:v>362</x:v>
      </x:c>
      <x:c r="B206" s="60" t="str">
        <x:v>Mathematics</x:v>
      </x:c>
      <x:c r="C206" s="60" t="str">
        <x:v>Hard</x:v>
      </x:c>
      <x:c r="D206" s="60" t="str">
        <x:v>Trigonometry</x:v>
      </x:c>
      <x:c r="E206" s="60" t="str">
        <x:v>If cos A = 85, then value of cot A . sin A is</x:v>
      </x:c>
      <x:c r="F206" s="60" t="str">
        <x:v>395</x:v>
      </x:c>
      <x:c r="G206" s="60" t="str">
        <x:v>85</x:v>
      </x:c>
      <x:c r="H206" s="60" t="str">
        <x:v>398</x:v>
      </x:c>
      <x:c r="I206" s="60" t="str">
        <x:v>58</x:v>
      </x:c>
      <x:c r="J206" s="60" t="str">
        <x:v>398</x:v>
      </x:c>
      <x:c r="K206" s="60" t="str">
        <x:v>Using the standard trigonometric identity gives 398.</x:v>
      </x:c>
      <x:c r="L206" s="60" t="str">
        <x:v>WX1YZ/C</x:v>
      </x:c>
      <x:c r="M206" s="60" t="str">
        <x:v>Mathematics</x:v>
      </x:c>
      <x:c r="N206" s="60" t="str">
        <x:v>Mathematical notation requires reconstruction; Trigonometric fractions are unreadable.</x:v>
      </x:c>
      <x:c r="O206" s="60" t="str">
        <x:v>Correct from a reliable source, independently verify the answer, then rescreen.</x:v>
      </x:c>
    </x:row>
    <x:row r="207">
      <x:c r="A207" s="62" t="n">
        <x:v>363</x:v>
      </x:c>
      <x:c r="B207" s="60" t="str">
        <x:v>Mathematics</x:v>
      </x:c>
      <x:c r="C207" s="60" t="str">
        <x:v>Hard</x:v>
      </x:c>
      <x:c r="D207" s="60" t="str">
        <x:v>Quadratic Equations &amp; Polynomials</x:v>
      </x:c>
      <x:c r="E207" s="60" t="str">
        <x:v>In the given figure, graph of a polynomial p(x) is given. Number of zeroes of p(x) is</x:v>
      </x:c>
      <x:c r="F207" s="60" t="str">
        <x:v>3</x:v>
      </x:c>
      <x:c r="G207" s="60" t="str">
        <x:v>4</x:v>
      </x:c>
      <x:c r="H207" s="60" t="str">
        <x:v>5</x:v>
      </x:c>
      <x:c r="I207" s="60" t="str">
        <x:v>2</x:v>
      </x:c>
      <x:c r="J207" s="60" t="str">
        <x:v>4</x:v>
      </x:c>
      <x:c r="K207" s="60" t="str">
        <x:v>Substituting the given values for “In the given figure graph of a” gives 4.</x:v>
      </x:c>
      <x:c r="L207" s="60" t="str">
        <x:v>WX1YZ/C</x:v>
      </x:c>
      <x:c r="M207" s="60" t="str">
        <x:v>Mathematics</x:v>
      </x:c>
      <x:c r="N207" s="60" t="str">
        <x:v>Visual or diagram required but unavailable; Mathematical notation requires reconstruction</x:v>
      </x:c>
      <x:c r="O207" s="60" t="str">
        <x:v>Exclude until a visual is created or replace with a self-contained question.</x:v>
      </x:c>
    </x:row>
    <x:row r="208">
      <x:c r="A208" s="62" t="n">
        <x:v>364</x:v>
      </x:c>
      <x:c r="B208" s="60" t="str">
        <x:v>Mathematics</x:v>
      </x:c>
      <x:c r="C208" s="60" t="str">
        <x:v>Hard</x:v>
      </x:c>
      <x:c r="D208" s="60" t="str">
        <x:v>Trigonometry</x:v>
      </x:c>
      <x:c r="E208" s="60" t="str">
        <x:v>In the given figure, PA and PB are tangents to a circle centred at O. If APB = 30, then OAB equals</x:v>
      </x:c>
      <x:c r="F208" s="60" t="str">
        <x:v>30</x:v>
      </x:c>
      <x:c r="G208" s="60" t="str">
        <x:v>15</x:v>
      </x:c>
      <x:c r="H208" s="60" t="str">
        <x:v>45</x:v>
      </x:c>
      <x:c r="I208" s="60" t="str">
        <x:v>10</x:v>
      </x:c>
      <x:c r="J208" s="60" t="str">
        <x:v>15</x:v>
      </x:c>
      <x:c r="K208" s="60" t="str">
        <x:v>The relevant circle measure for “In the given figure PA and PB” is 15.</x:v>
      </x:c>
      <x:c r="L208" s="60" t="str">
        <x:v>WX1YZ/C</x:v>
      </x:c>
      <x:c r="M208" s="60" t="str">
        <x:v>Mathematics</x:v>
      </x:c>
      <x:c r="N208" s="60" t="str">
        <x:v>Visual or diagram required but unavailable; Mathematical notation requires reconstruction</x:v>
      </x:c>
      <x:c r="O208" s="60" t="str">
        <x:v>Exclude until a visual is created or replace with a self-contained question.</x:v>
      </x:c>
    </x:row>
    <x:row r="209">
      <x:c r="A209" s="62" t="n">
        <x:v>365</x:v>
      </x:c>
      <x:c r="B209" s="60" t="str">
        <x:v>Mathematics</x:v>
      </x:c>
      <x:c r="C209" s="60" t="str">
        <x:v>Hard</x:v>
      </x:c>
      <x:c r="D209" s="60" t="str">
        <x:v>Quadratic Equations &amp; Polynomials</x:v>
      </x:c>
      <x:c r="E209" s="60" t="str">
        <x:v>A quadratic polynomial having zeroes 6 and 0 is</x:v>
      </x:c>
      <x:c r="F209" s="60" t="str">
        <x:v>x (x2 +</x:v>
      </x:c>
      <x:c r="G209" s="60" t="str">
        <x:v>6x (x +</x:v>
      </x:c>
      <x:c r="H209" s="60" t="str">
        <x:v>6x2</x:v>
      </x:c>
      <x:c r="I209" s="60" t="str">
        <x:v>6 (x2 x)</x:v>
      </x:c>
      <x:c r="J209" s="60" t="str">
        <x:v>6x (x +</x:v>
      </x:c>
      <x:c r="K209" s="60" t="str">
        <x:v>Substituting the given values for “A quadratic polynomial having zeroes 6 and” gives 6x (x +.</x:v>
      </x:c>
      <x:c r="L209" s="60" t="str">
        <x:v>WX1YZ/C</x:v>
      </x:c>
      <x:c r="M209" s="60" t="str">
        <x:v>Mathematics</x:v>
      </x:c>
      <x:c r="N209" s="60" t="str">
        <x:v>Mathematical notation requires reconstruction; Polynomial options and stored answer are incomplete.</x:v>
      </x:c>
      <x:c r="O209" s="60" t="str">
        <x:v>Correct from a reliable source, independently verify the answer, then rescreen.</x:v>
      </x:c>
    </x:row>
    <x:row r="210">
      <x:c r="A210" s="62" t="n">
        <x:v>366</x:v>
      </x:c>
      <x:c r="B210" s="60" t="str">
        <x:v>Mathematics</x:v>
      </x:c>
      <x:c r="C210" s="60" t="str">
        <x:v>Hard</x:v>
      </x:c>
      <x:c r="D210" s="60" t="str">
        <x:v>Trigonometry</x:v>
      </x:c>
      <x:c r="E210" s="60" t="str">
        <x:v>In the given figure, PA and PB are tangents to a circle centred at O. If APB = 50, then AOB is equal to</x:v>
      </x:c>
      <x:c r="F210" s="60" t="str">
        <x:v>130</x:v>
      </x:c>
      <x:c r="G210" s="60" t="str">
        <x:v>50</x:v>
      </x:c>
      <x:c r="H210" s="60" t="str">
        <x:v>120</x:v>
      </x:c>
      <x:c r="I210" s="60" t="str">
        <x:v>90</x:v>
      </x:c>
      <x:c r="J210" s="60" t="str">
        <x:v>120</x:v>
      </x:c>
      <x:c r="K210" s="60" t="str">
        <x:v>The relevant circle measure for “In the given figure PA and PB” is 120.</x:v>
      </x:c>
      <x:c r="L210" s="60" t="str">
        <x:v>WX1YZ/C</x:v>
      </x:c>
      <x:c r="M210" s="60" t="str">
        <x:v>Mathematics</x:v>
      </x:c>
      <x:c r="N210" s="60" t="str">
        <x:v>Visual or diagram required but unavailable; Mathematical notation requires reconstruction</x:v>
      </x:c>
      <x:c r="O210" s="60" t="str">
        <x:v>Exclude until a visual is created or replace with a self-contained question.</x:v>
      </x:c>
    </x:row>
    <x:row r="211">
      <x:c r="A211" s="62" t="n">
        <x:v>367</x:v>
      </x:c>
      <x:c r="B211" s="60" t="str">
        <x:v>Mathematics</x:v>
      </x:c>
      <x:c r="C211" s="60" t="str">
        <x:v>Easy</x:v>
      </x:c>
      <x:c r="D211" s="60" t="str">
        <x:v>Number Systems</x:v>
      </x:c>
      <x:c r="E211" s="60" t="str">
        <x:v>The HCF of two numbers is 27 and their LCM is 162. If one of the numbers is 54, the other number is</x:v>
      </x:c>
      <x:c r="F211" s="60" t="str">
        <x:v>36</x:v>
      </x:c>
      <x:c r="G211" s="60" t="str">
        <x:v>45</x:v>
      </x:c>
      <x:c r="H211" s="60" t="str">
        <x:v>9</x:v>
      </x:c>
      <x:c r="I211" s="60" t="str">
        <x:v>81</x:v>
      </x:c>
      <x:c r="J211" s="60" t="str">
        <x:v>45</x:v>
      </x:c>
      <x:c r="K211" s="60" t="str">
        <x:v>Prime factorisation of the stated numbers gives 45.</x:v>
      </x:c>
      <x:c r="L211" s="60" t="str">
        <x:v>WX1YZ/C</x:v>
      </x:c>
      <x:c r="M211" s="60" t="str">
        <x:v>Mathematics</x:v>
      </x:c>
      <x:c r="N211" s="60" t="str">
        <x:v>Mathematical notation requires reconstruction</x:v>
      </x:c>
      <x:c r="O211" s="60" t="str">
        <x:v>Correct from a reliable source, independently verify the answer, then rescreen.</x:v>
      </x:c>
    </x:row>
    <x:row r="212">
      <x:c r="A212" s="62" t="n">
        <x:v>368</x:v>
      </x:c>
      <x:c r="B212" s="60" t="str">
        <x:v>Mathematics</x:v>
      </x:c>
      <x:c r="C212" s="60" t="str">
        <x:v>Easy</x:v>
      </x:c>
      <x:c r="D212" s="60" t="str">
        <x:v>Probability</x:v>
      </x:c>
      <x:c r="E212" s="60" t="str">
        <x:v>The probability that a month of 30 days has 5 Sundays, is</x:v>
      </x:c>
      <x:c r="F212" s="60" t="str">
        <x:v>71</x:v>
      </x:c>
      <x:c r="G212" s="60" t="str">
        <x:v>72</x:v>
      </x:c>
      <x:c r="H212" s="60" t="str">
        <x:v>151</x:v>
      </x:c>
      <x:c r="I212" s="60" t="str">
        <x:v>305</x:v>
      </x:c>
      <x:c r="J212" s="60" t="str">
        <x:v>151</x:v>
      </x:c>
      <x:c r="K212" s="60" t="str">
        <x:v>Favourable outcomes divided by all equally likely outcomes gives 151.</x:v>
      </x:c>
      <x:c r="L212" s="60" t="str">
        <x:v>WX1YZ/C</x:v>
      </x:c>
      <x:c r="M212" s="60" t="str">
        <x:v>Mathematics</x:v>
      </x:c>
      <x:c r="N212" s="60" t="str">
        <x:v>Mathematical notation requires reconstruction</x:v>
      </x:c>
      <x:c r="O212" s="60" t="str">
        <x:v>Correct from a reliable source, independently verify the answer, then rescreen.</x:v>
      </x:c>
    </x:row>
    <x:row r="213">
      <x:c r="A213" s="62" t="n">
        <x:v>369</x:v>
      </x:c>
      <x:c r="B213" s="60" t="str">
        <x:v>Mathematics</x:v>
      </x:c>
      <x:c r="C213" s="60" t="str">
        <x:v>Easy</x:v>
      </x:c>
      <x:c r="D213" s="60" t="str">
        <x:v>General Mathematics</x:v>
      </x:c>
      <x:c r="E213" s="60" t="str">
        <x:v>A number x is chosen from {1, 2, 3} and y is chosen from {1, 4, 9}. Then P(xy &lt; 9) is</x:v>
      </x:c>
      <x:c r="F213" s="60" t="str">
        <x:v>01-Sep</x:v>
      </x:c>
      <x:c r="G213" s="60" t="str">
        <x:v>01-Mar</x:v>
      </x:c>
      <x:c r="H213" s="60" t="str">
        <x:v>05-Sep</x:v>
      </x:c>
      <x:c r="I213" s="60" t="str">
        <x:v>07-Sep</x:v>
      </x:c>
      <x:c r="J213" s="60" t="str">
        <x:v>05-Sep</x:v>
      </x:c>
      <x:c r="K213" s="60" t="str">
        <x:v>Favourable outcomes divided by all equally likely outcomes gives 5/9.</x:v>
      </x:c>
      <x:c r="L213" s="60" t="str">
        <x:v>WX1YZ/C</x:v>
      </x:c>
      <x:c r="M213" s="60" t="str">
        <x:v>Mathematics</x:v>
      </x:c>
      <x:c r="N213" s="60" t="str">
        <x:v>Spreadsheet auto-formatting corrupted a fraction or ratio; Fractions were converted into dates.; Explanation and stored answer are inconsistent</x:v>
      </x:c>
      <x:c r="O213" s="60" t="str">
        <x:v>Correct from a reliable source, independently verify the answer, then rescreen.</x:v>
      </x:c>
    </x:row>
    <x:row r="214">
      <x:c r="A214" s="62" t="n">
        <x:v>371</x:v>
      </x:c>
      <x:c r="B214" s="60" t="str">
        <x:v>Mathematics</x:v>
      </x:c>
      <x:c r="C214" s="60" t="str">
        <x:v>Hard</x:v>
      </x:c>
      <x:c r="D214" s="60" t="str">
        <x:v>Trigonometry</x:v>
      </x:c>
      <x:c r="E214" s="60" t="str">
        <x:v>If x, 2x + 9, 4x + 3 are three consecutive terms of an A.P., then the value of x is</x:v>
      </x:c>
      <x:c r="F214" s="60" t="str">
        <x:v>3</x:v>
      </x:c>
      <x:c r="G214" s="60" t="str">
        <x:v>10</x:v>
      </x:c>
      <x:c r="H214" s="60" t="str">
        <x:v>13</x:v>
      </x:c>
      <x:c r="I214" s="60" t="str">
        <x:v>15</x:v>
      </x:c>
      <x:c r="J214" s="60" t="str">
        <x:v>15</x:v>
      </x:c>
      <x:c r="K214" s="60" t="str">
        <x:v>Applying the arithmetic-progression relation gives 15.</x:v>
      </x:c>
      <x:c r="L214" s="60" t="str">
        <x:v>WX1YZ/C</x:v>
      </x:c>
      <x:c r="M214" s="60" t="str">
        <x:v>Mathematics</x:v>
      </x:c>
      <x:c r="N214" s="60" t="str">
        <x:v>Mathematical notation requires reconstruction</x:v>
      </x:c>
      <x:c r="O214" s="60" t="str">
        <x:v>Correct from a reliable source, independently verify the answer, then rescreen.</x:v>
      </x:c>
    </x:row>
    <x:row r="215">
      <x:c r="A215" s="62" t="n">
        <x:v>372</x:v>
      </x:c>
      <x:c r="B215" s="60" t="str">
        <x:v>Mathematics</x:v>
      </x:c>
      <x:c r="C215" s="60" t="str">
        <x:v>Hard</x:v>
      </x:c>
      <x:c r="D215" s="60" t="str">
        <x:v>Trigonometry</x:v>
      </x:c>
      <x:c r="E215" s="60" t="str">
        <x:v>Lali tosses two different coins simultaneously. The probability that she gets at most one head is</x:v>
      </x:c>
      <x:c r="F215" s="60" t="str">
        <x:v>1</x:v>
      </x:c>
      <x:c r="G215" s="60" t="str">
        <x:v>43</x:v>
      </x:c>
      <x:c r="H215" s="60" t="str">
        <x:v>21</x:v>
      </x:c>
      <x:c r="I215" s="60" t="str">
        <x:v>71</x:v>
      </x:c>
      <x:c r="J215" s="60" t="str">
        <x:v>1</x:v>
      </x:c>
      <x:c r="K215" s="60" t="str">
        <x:v>Favourable outcomes divided by all equally likely outcomes gives 1.</x:v>
      </x:c>
      <x:c r="L215" s="60" t="str">
        <x:v>WX1YZ/C</x:v>
      </x:c>
      <x:c r="M215" s="60" t="str">
        <x:v>Mathematics</x:v>
      </x:c>
      <x:c r="N215" s="60" t="str">
        <x:v>Mathematical notation requires reconstruction</x:v>
      </x:c>
      <x:c r="O215" s="60" t="str">
        <x:v>Correct from a reliable source, independently verify the answer, then rescreen.</x:v>
      </x:c>
    </x:row>
    <x:row r="216">
      <x:c r="A216" s="62" t="n">
        <x:v>374</x:v>
      </x:c>
      <x:c r="B216" s="60" t="str">
        <x:v>Mathematics</x:v>
      </x:c>
      <x:c r="C216" s="60" t="str">
        <x:v>Easy</x:v>
      </x:c>
      <x:c r="D216" s="60" t="str">
        <x:v>General Mathematics</x:v>
      </x:c>
      <x:c r="E216" s="60" t="str">
        <x:v>The values of k for which the equation 4x2 + kx + 9 = 0 has real and equal roots are</x:v>
      </x:c>
      <x:c r="F216" s="60" t="str">
        <x:v>11</x:v>
      </x:c>
      <x:c r="G216" s="60" t="str">
        <x:v>12</x:v>
      </x:c>
      <x:c r="H216" s="60" t="str">
        <x:v>6</x:v>
      </x:c>
      <x:c r="I216" s="60" t="str">
        <x:v>3</x:v>
      </x:c>
      <x:c r="J216" s="60" t="str">
        <x:v>12</x:v>
      </x:c>
      <x:c r="K216" s="60" t="str">
        <x:v>Substituting the given values for “The values of k for which the” gives 12.</x:v>
      </x:c>
      <x:c r="L216" s="60" t="str">
        <x:v>WX1YZ/C</x:v>
      </x:c>
      <x:c r="M216" s="60" t="str">
        <x:v>Mathematics</x:v>
      </x:c>
      <x:c r="N216" s="60" t="str">
        <x:v>Mathematical notation requires reconstruction</x:v>
      </x:c>
      <x:c r="O216" s="60" t="str">
        <x:v>Correct from a reliable source, independently verify the answer, then rescreen.</x:v>
      </x:c>
    </x:row>
    <x:row r="217">
      <x:c r="A217" s="62" t="n">
        <x:v>375</x:v>
      </x:c>
      <x:c r="B217" s="60" t="str">
        <x:v>Mathematics</x:v>
      </x:c>
      <x:c r="C217" s="60" t="str">
        <x:v>Hard</x:v>
      </x:c>
      <x:c r="D217" s="60" t="str">
        <x:v>Trigonometry</x:v>
      </x:c>
      <x:c r="E217" s="60" t="str">
        <x:v>2 cos² θ (1 + tan² θ) is equal to</x:v>
      </x:c>
      <x:c r="F217" s="60" t="str">
        <x:v>0</x:v>
      </x:c>
      <x:c r="G217" s="60" t="str">
        <x:v>1</x:v>
      </x:c>
      <x:c r="H217" s="60" t="str">
        <x:v>2</x:v>
      </x:c>
      <x:c r="I217" s="60" t="str">
        <x:v>3</x:v>
      </x:c>
      <x:c r="J217" s="60" t="str">
        <x:v>2</x:v>
      </x:c>
      <x:c r="K217" s="60" t="str">
        <x:v>Using the standard trigonometric identity gives 2.</x:v>
      </x:c>
      <x:c r="L217" s="60" t="str">
        <x:v>WX1YZ/C</x:v>
      </x:c>
      <x:c r="M217" s="60" t="str">
        <x:v>Mathematics</x:v>
      </x:c>
      <x:c r="N217" s="60" t="str">
        <x:v>Mathematical notation requires reconstruction</x:v>
      </x:c>
      <x:c r="O217" s="60" t="str">
        <x:v>Correct from a reliable source, independently verify the answer, then rescreen.</x:v>
      </x:c>
    </x:row>
    <x:row r="218">
      <x:c r="A218" s="62" t="n">
        <x:v>376</x:v>
      </x:c>
      <x:c r="B218" s="60" t="str">
        <x:v>Mathematics</x:v>
      </x:c>
      <x:c r="C218" s="60" t="str">
        <x:v>Easy</x:v>
      </x:c>
      <x:c r="D218" s="60" t="str">
        <x:v>General Mathematics</x:v>
      </x:c>
      <x:c r="E218" s="60" t="str">
        <x:v>A number is chosen from the numbers 1, 2, 3 and denoted as x, and a number is chosen from the numbers 1, 4, 9 and denoted as y. Then P(xy &lt; 9) is</x:v>
      </x:c>
      <x:c r="F218" s="60" t="str">
        <x:v>91</x:v>
      </x:c>
      <x:c r="G218" s="60" t="str">
        <x:v>93</x:v>
      </x:c>
      <x:c r="H218" s="60" t="str">
        <x:v>95</x:v>
      </x:c>
      <x:c r="I218" s="60" t="str">
        <x:v>97</x:v>
      </x:c>
      <x:c r="J218" s="60" t="str">
        <x:v>93</x:v>
      </x:c>
      <x:c r="K218" s="60" t="str">
        <x:v>Favourable outcomes divided by all equally likely outcomes gives 93.</x:v>
      </x:c>
      <x:c r="L218" s="60" t="str">
        <x:v>WX1YZ/C</x:v>
      </x:c>
      <x:c r="M218" s="60" t="str">
        <x:v>Mathematics</x:v>
      </x:c>
      <x:c r="N218" s="60" t="str">
        <x:v>Mathematical notation requires reconstruction</x:v>
      </x:c>
      <x:c r="O218" s="60" t="str">
        <x:v>Correct from a reliable source, independently verify the answer, then rescreen.</x:v>
      </x:c>
    </x:row>
    <x:row r="219">
      <x:c r="A219" s="62" t="n">
        <x:v>377</x:v>
      </x:c>
      <x:c r="B219" s="60" t="str">
        <x:v>Mathematics</x:v>
      </x:c>
      <x:c r="C219" s="60" t="str">
        <x:v>Medium</x:v>
      </x:c>
      <x:c r="D219" s="60" t="str">
        <x:v>Linear Equations</x:v>
      </x:c>
      <x:c r="E219" s="60" t="str">
        <x:v>Graphically, the pair of equations 6x 2y = 21 and 2x 3y + 7 = 0 represents two lines which are</x:v>
      </x:c>
      <x:c r="F219" s="60" t="str">
        <x:v>intersecting exactly at one point</x:v>
      </x:c>
      <x:c r="G219" s="60" t="str">
        <x:v>intersecting exactly at two points</x:v>
      </x:c>
      <x:c r="H219" s="60" t="str">
        <x:v>coincident</x:v>
      </x:c>
      <x:c r="I219" s="60" t="str">
        <x:v>parallel</x:v>
      </x:c>
      <x:c r="J219" s="60" t="str">
        <x:v>coincident</x:v>
      </x:c>
      <x:c r="K219" s="60" t="str">
        <x:v>Substituting the given values for “Graphically the pair of equations 6x 2y” gives coincident.</x:v>
      </x:c>
      <x:c r="L219" s="60" t="str">
        <x:v>WX1YZ/C</x:v>
      </x:c>
      <x:c r="M219" s="60" t="str">
        <x:v>Mathematics</x:v>
      </x:c>
      <x:c r="N219" s="60" t="str">
        <x:v>Linear equation operators are missing; key cannot be verified.</x:v>
      </x:c>
      <x:c r="O219" s="60" t="str">
        <x:v>Correct from a reliable source, independently verify the answer, then rescreen.</x:v>
      </x:c>
    </x:row>
    <x:row r="220">
      <x:c r="A220" s="62" t="n">
        <x:v>378</x:v>
      </x:c>
      <x:c r="B220" s="60" t="str">
        <x:v>Mathematics</x:v>
      </x:c>
      <x:c r="C220" s="60" t="str">
        <x:v>Hard</x:v>
      </x:c>
      <x:c r="D220" s="60" t="str">
        <x:v>Trigonometry</x:v>
      </x:c>
      <x:c r="E220" s="60" t="str">
        <x:v>If 2x, x + 10, 3x + 2 are three consecutive terms of an A.P., then the value of x is</x:v>
      </x:c>
      <x:c r="F220" s="60" t="str">
        <x:v>4</x:v>
      </x:c>
      <x:c r="G220" s="60" t="str">
        <x:v>5</x:v>
      </x:c>
      <x:c r="H220" s="60" t="str">
        <x:v>6</x:v>
      </x:c>
      <x:c r="I220" s="60" t="str">
        <x:v>8</x:v>
      </x:c>
      <x:c r="J220" s="60" t="str">
        <x:v>4</x:v>
      </x:c>
      <x:c r="K220" s="60" t="str">
        <x:v>Applying the arithmetic-progression relation gives 4.</x:v>
      </x:c>
      <x:c r="L220" s="60" t="str">
        <x:v>WX1YZ/C</x:v>
      </x:c>
      <x:c r="M220" s="60" t="str">
        <x:v>Mathematics</x:v>
      </x:c>
      <x:c r="N220" s="60" t="str">
        <x:v>Mathematical notation requires reconstruction</x:v>
      </x:c>
      <x:c r="O220" s="60" t="str">
        <x:v>Correct from a reliable source, independently verify the answer, then rescreen.</x:v>
      </x:c>
    </x:row>
    <x:row r="221">
      <x:c r="A221" s="62" t="n">
        <x:v>379</x:v>
      </x:c>
      <x:c r="B221" s="60" t="str">
        <x:v>Mathematics</x:v>
      </x:c>
      <x:c r="C221" s="60" t="str">
        <x:v>Hard</x:v>
      </x:c>
      <x:c r="D221" s="60" t="str">
        <x:v>Circle Theorems</x:v>
      </x:c>
      <x:c r="E221" s="60" t="str">
        <x:v>If AB is a chord of a circle with centre at O(2, 3), where the coordinates of A and B are (4, 3) and (x, 5) respectively, then the value of x is</x:v>
      </x:c>
      <x:c r="F221" s="60" t="str">
        <x:v>3</x:v>
      </x:c>
      <x:c r="G221" s="60" t="str">
        <x:v>2</x:v>
      </x:c>
      <x:c r="H221" s="60" t="str">
        <x:v>5</x:v>
      </x:c>
      <x:c r="I221" s="60" t="str">
        <x:v>4</x:v>
      </x:c>
      <x:c r="J221" s="60" t="str">
        <x:v>5</x:v>
      </x:c>
      <x:c r="K221" s="60" t="str">
        <x:v>The coordinate formula for “If AB is a chord of a” gives 5.</x:v>
      </x:c>
      <x:c r="L221" s="60" t="str">
        <x:v>WX1YZ/C</x:v>
      </x:c>
      <x:c r="M221" s="60" t="str">
        <x:v>Mathematics</x:v>
      </x:c>
      <x:c r="N221" s="60" t="str">
        <x:v>Mathematical notation requires reconstruction</x:v>
      </x:c>
      <x:c r="O221" s="60" t="str">
        <x:v>Correct from a reliable source, independently verify the answer, then rescreen.</x:v>
      </x:c>
    </x:row>
    <x:row r="222">
      <x:c r="A222" s="62" t="n">
        <x:v>380</x:v>
      </x:c>
      <x:c r="B222" s="60" t="str">
        <x:v>Mathematics</x:v>
      </x:c>
      <x:c r="C222" s="60" t="str">
        <x:v>Hard</x:v>
      </x:c>
      <x:c r="D222" s="60" t="str">
        <x:v>Trigonometry</x:v>
      </x:c>
      <x:c r="E222" s="60" t="str">
        <x:v>In a single throw of two dice, the probability of getting a sum of 10 is</x:v>
      </x:c>
      <x:c r="F222" s="60" t="str">
        <x:v>121</x:v>
      </x:c>
      <x:c r="G222" s="60" t="str">
        <x:v>361</x:v>
      </x:c>
      <x:c r="H222" s="60" t="str">
        <x:v>61</x:v>
      </x:c>
      <x:c r="I222" s="60" t="str">
        <x:v>41</x:v>
      </x:c>
      <x:c r="J222" s="60" t="str">
        <x:v>121</x:v>
      </x:c>
      <x:c r="K222" s="60" t="str">
        <x:v>Favourable outcomes divided by all equally likely outcomes gives 121.</x:v>
      </x:c>
      <x:c r="L222" s="60" t="str">
        <x:v>WX1YZ/C</x:v>
      </x:c>
      <x:c r="M222" s="60" t="str">
        <x:v>Mathematics</x:v>
      </x:c>
      <x:c r="N222" s="60" t="str">
        <x:v>Mathematical notation requires reconstruction</x:v>
      </x:c>
      <x:c r="O222" s="60" t="str">
        <x:v>Correct from a reliable source, independently verify the answer, then rescreen.</x:v>
      </x:c>
    </x:row>
    <x:row r="223">
      <x:c r="A223" s="62" t="n">
        <x:v>381</x:v>
      </x:c>
      <x:c r="B223" s="60" t="str">
        <x:v>Mathematics</x:v>
      </x:c>
      <x:c r="C223" s="60" t="str">
        <x:v>Hard</x:v>
      </x:c>
      <x:c r="D223" s="60" t="str">
        <x:v>Quadratic Equations &amp; Polynomials</x:v>
      </x:c>
      <x:c r="E223" s="60" t="str">
        <x:v>The value of k for which the quadratic equation 2x2 10x + k = 0 has real and equal roots, is</x:v>
      </x:c>
      <x:c r="F223" s="60" t="str">
        <x:v>225</x:v>
      </x:c>
      <x:c r="G223" s="60" t="str">
        <x:v>51</x:v>
      </x:c>
      <x:c r="H223" s="60" t="str">
        <x:v>25</x:v>
      </x:c>
      <x:c r="I223" s="60" t="str">
        <x:v>21</x:v>
      </x:c>
      <x:c r="J223" s="60" t="str">
        <x:v>51</x:v>
      </x:c>
      <x:c r="K223" s="60" t="str">
        <x:v>Substituting the given values for “The value of k for which the” gives 51.</x:v>
      </x:c>
      <x:c r="L223" s="60" t="str">
        <x:v>WX1YZ/C</x:v>
      </x:c>
      <x:c r="M223" s="60" t="str">
        <x:v>Mathematics</x:v>
      </x:c>
      <x:c r="N223" s="60" t="str">
        <x:v>Mathematical notation requires reconstruction</x:v>
      </x:c>
      <x:c r="O223" s="60" t="str">
        <x:v>Correct from a reliable source, independently verify the answer, then rescreen.</x:v>
      </x:c>
    </x:row>
    <x:row r="224">
      <x:c r="A224" s="62" t="n">
        <x:v>382</x:v>
      </x:c>
      <x:c r="B224" s="60" t="str">
        <x:v>Mathematics</x:v>
      </x:c>
      <x:c r="C224" s="60" t="str">
        <x:v>Medium</x:v>
      </x:c>
      <x:c r="D224" s="60" t="str">
        <x:v>Linear Equations</x:v>
      </x:c>
      <x:c r="E224" s="60" t="str">
        <x:v>Graphically, the pair of linear equations 3x y + 8 = 0 and 3x y = 24 represents two lines which are</x:v>
      </x:c>
      <x:c r="F224" s="60" t="str">
        <x:v>intersecting exactly at one point</x:v>
      </x:c>
      <x:c r="G224" s="60" t="str">
        <x:v>intersecting exactly at two points</x:v>
      </x:c>
      <x:c r="H224" s="60" t="str">
        <x:v>coincident</x:v>
      </x:c>
      <x:c r="I224" s="60" t="str">
        <x:v>parallel</x:v>
      </x:c>
      <x:c r="J224" s="60" t="str">
        <x:v>intersecting exactly at one point</x:v>
      </x:c>
      <x:c r="K224" s="60" t="str">
        <x:v>Substituting the given values for “Graphically the pair of linear equations 3x” gives intersecting exactly at one point.</x:v>
      </x:c>
      <x:c r="L224" s="60" t="str">
        <x:v>WX1YZ/C</x:v>
      </x:c>
      <x:c r="M224" s="60" t="str">
        <x:v>Mathematics</x:v>
      </x:c>
      <x:c r="N224" s="60" t="str">
        <x:v>Incorrect key: displayed equations represent parallel lines.</x:v>
      </x:c>
      <x:c r="O224" s="60" t="str">
        <x:v>Correct from a reliable source, independently verify the answer, then rescreen.</x:v>
      </x:c>
    </x:row>
    <x:row r="225">
      <x:c r="A225" s="62" t="n">
        <x:v>383</x:v>
      </x:c>
      <x:c r="B225" s="60" t="str">
        <x:v>Mathematics</x:v>
      </x:c>
      <x:c r="C225" s="60" t="str">
        <x:v>Hard</x:v>
      </x:c>
      <x:c r="D225" s="60" t="str">
        <x:v>Trigonometry</x:v>
      </x:c>
      <x:c r="E225" s="60" t="str">
        <x:v>If x + 1, 3x and 4x + 2 are three consecutive terms of an A.P., then the value of x is</x:v>
      </x:c>
      <x:c r="F225" s="60" t="str">
        <x:v>2</x:v>
      </x:c>
      <x:c r="G225" s="60" t="str">
        <x:v>3</x:v>
      </x:c>
      <x:c r="H225" s="60" t="str">
        <x:v>4</x:v>
      </x:c>
      <x:c r="I225" s="60" t="str">
        <x:v>5</x:v>
      </x:c>
      <x:c r="J225" s="60" t="str">
        <x:v>3</x:v>
      </x:c>
      <x:c r="K225" s="60" t="str">
        <x:v>Applying the arithmetic-progression relation gives 3.</x:v>
      </x:c>
      <x:c r="L225" s="60" t="str">
        <x:v>WX1YZ/C</x:v>
      </x:c>
      <x:c r="M225" s="60" t="str">
        <x:v>Mathematics</x:v>
      </x:c>
      <x:c r="N225" s="60" t="str">
        <x:v>Mathematical notation requires reconstruction</x:v>
      </x:c>
      <x:c r="O225" s="60" t="str">
        <x:v>Correct from a reliable source, independently verify the answer, then rescreen.</x:v>
      </x:c>
    </x:row>
    <x:row r="226">
      <x:c r="A226" s="62" t="n">
        <x:v>407</x:v>
      </x:c>
      <x:c r="B226" s="60" t="str">
        <x:v>Science</x:v>
      </x:c>
      <x:c r="C226" s="60" t="str">
        <x:v>Hard</x:v>
      </x:c>
      <x:c r="D226" s="60" t="str">
        <x:v>Electricity &amp; Magnetism</x:v>
      </x:c>
      <x:c r="E226" s="60" t="str">
        <x:v>The strength of magnetic field produced inside a long straig ht current carrying solenoid does not depend upon</x:v>
      </x:c>
      <x:c r="F226" s="60" t="str">
        <x:v>number of turns in the solenoid</x:v>
      </x:c>
      <x:c r="G226" s="60" t="str">
        <x:v>direction of current flowing through the solenoid</x:v>
      </x:c>
      <x:c r="H226" s="60" t="str">
        <x:v>material of the core filled inside the solenoid</x:v>
      </x:c>
      <x:c r="I226" s="60" t="str">
        <x:v>radius of the coil of the solenoid</x:v>
      </x:c>
      <x:c r="J226" s="60" t="str">
        <x:v>radius of the coil of the solenoid</x:v>
      </x:c>
      <x:c r="K226" s="60" t="str">
        <x:v>The stated electricity or magnetism rule gives radius of the coil of the solenoid.</x:v>
      </x:c>
      <x:c r="L226" s="60" t="str">
        <x:v>3EGFH</x:v>
      </x:c>
      <x:c r="M226" s="60" t="str">
        <x:v>Science</x:v>
      </x:c>
      <x:c r="N226" s="60" t="str">
        <x:v>More than one option can be correct for magnetic-field strength.</x:v>
      </x:c>
      <x:c r="O226" s="60" t="str">
        <x:v>Correct from a reliable source, independently verify the answer, then rescreen.</x:v>
      </x:c>
    </x:row>
    <x:row r="227">
      <x:c r="A227" s="62" t="n">
        <x:v>412</x:v>
      </x:c>
      <x:c r="B227" s="60" t="str">
        <x:v>Science</x:v>
      </x:c>
      <x:c r="C227" s="60" t="str">
        <x:v>Hard</x:v>
      </x:c>
      <x:c r="D227" s="60" t="str">
        <x:v>Electricity &amp; Magnetism</x:v>
      </x:c>
      <x:c r="E227" s="60" t="str">
        <x:v>The strength of the magnetic field produced inside a current carrying long straight solenoid does not depend upon</x:v>
      </x:c>
      <x:c r="F227" s="60" t="str">
        <x:v>Area of cross-section of the tube of the solenoid</x:v>
      </x:c>
      <x:c r="G227" s="60" t="str">
        <x:v>Number of turns per unit length in the solenoid</x:v>
      </x:c>
      <x:c r="H227" s="60" t="str">
        <x:v>Direction of current flowing through the coil of the solenoid</x:v>
      </x:c>
      <x:c r="I227" s="60" t="str">
        <x:v>Material of the core of the solenoid</x:v>
      </x:c>
      <x:c r="J227" s="60" t="str">
        <x:v>Direction of current flowing through the coil of the solenoid</x:v>
      </x:c>
      <x:c r="K227" s="60" t="str">
        <x:v>The stated electricity or magnetism rule gives Direction of current flowing through the coil of the solenoid.</x:v>
      </x:c>
      <x:c r="L227" s="60" t="str">
        <x:v>3EGFH</x:v>
      </x:c>
      <x:c r="M227" s="60" t="str">
        <x:v>Science</x:v>
      </x:c>
      <x:c r="N227" s="60" t="str">
        <x:v>More than one option can be correct for magnetic-field strength.</x:v>
      </x:c>
      <x:c r="O227" s="60" t="str">
        <x:v>Correct from a reliable source, independently verify the answer, then rescreen.</x:v>
      </x:c>
    </x:row>
    <x:row r="228">
      <x:c r="A228" s="62" t="n">
        <x:v>418</x:v>
      </x:c>
      <x:c r="B228" s="60" t="str">
        <x:v>Science</x:v>
      </x:c>
      <x:c r="C228" s="60" t="str">
        <x:v>Medium</x:v>
      </x:c>
      <x:c r="D228" s="60" t="str">
        <x:v>Chemistry</x:v>
      </x:c>
      <x:c r="E228" s="60" t="str">
        <x:v>In human respiratory system, when a person breathes in, the position of ribs and diaphragm will be</x:v>
      </x:c>
      <x:c r="F228" s="60" t="str">
        <x:v>lifted ribs and curve/dome shaped diaphragm.</x:v>
      </x:c>
      <x:c r="G228" s="60" t="str">
        <x:v>lifted ribs and flattened diaphragm.</x:v>
      </x:c>
      <x:c r="H228" s="60" t="str">
        <x:v>relaxed ribs and flattened diaphragm.</x:v>
      </x:c>
      <x:c r="I228" s="60" t="str">
        <x:v>relaxed ribs and curve/dome shaped diaphragm. Which of the following statement(s) is (are) true about human heart ?</x:v>
      </x:c>
      <x:c r="J228" s="60" t="str">
        <x:v>lifted ribs and curve/dome shaped diaphragm.</x:v>
      </x:c>
      <x:c r="K228" s="60" t="str">
        <x:v>The chemical property or reaction shown identifies lifted ribs and curve/dome shaped diaphragm..</x:v>
      </x:c>
      <x:c r="L228" s="60" t="str">
        <x:v>A2DDC/2</x:v>
      </x:c>
      <x:c r="M228" s="60" t="str">
        <x:v>Science</x:v>
      </x:c>
      <x:c r="N228" s="60" t="str">
        <x:v>Neighbouring question or instruction text is spliced into the record; Incorrect inhalation key and neighbouring question spliced into an option.</x:v>
      </x:c>
      <x:c r="O228" s="60" t="str">
        <x:v>Correct from a reliable source, independently verify the answer, then rescreen.</x:v>
      </x:c>
    </x:row>
    <x:row r="229">
      <x:c r="A229" s="62" t="n">
        <x:v>422</x:v>
      </x:c>
      <x:c r="B229" s="60" t="str">
        <x:v>Science</x:v>
      </x:c>
      <x:c r="C229" s="60" t="str">
        <x:v>Hard</x:v>
      </x:c>
      <x:c r="D229" s="60" t="str">
        <x:v>Electricity &amp; Magnetism</x:v>
      </x:c>
      <x:c r="E229" s="60" t="str">
        <x:v>The total resistance of the combination is</x:v>
      </x:c>
      <x:c r="F229" s="60" t="str">
        <x:v>25</x:v>
      </x:c>
      <x:c r="G229" s="60" t="str">
        <x:v>100</x:v>
      </x:c>
      <x:c r="H229" s="60" t="str">
        <x:v>16</x:v>
      </x:c>
      <x:c r="I229" s="60" t="str">
        <x:v>340</x:v>
      </x:c>
      <x:c r="J229" s="60" t="str">
        <x:v>25</x:v>
      </x:c>
      <x:c r="K229" s="60" t="str">
        <x:v>The stated electricity or magnetism rule gives 25.</x:v>
      </x:c>
      <x:c r="L229" s="60" t="str">
        <x:v>C3ABD/1</x:v>
      </x:c>
      <x:c r="M229" s="60" t="str">
        <x:v>Science</x:v>
      </x:c>
      <x:c r="N229" s="60" t="str">
        <x:v>The resistor combination required to calculate total resistance is missing.</x:v>
      </x:c>
      <x:c r="O229" s="60" t="str">
        <x:v>Correct from a reliable source, independently verify the answer, then rescreen.</x:v>
      </x:c>
    </x:row>
    <x:row r="230">
      <x:c r="A230" s="62" t="n">
        <x:v>426</x:v>
      </x:c>
      <x:c r="B230" s="60" t="str">
        <x:v>Science</x:v>
      </x:c>
      <x:c r="C230" s="60" t="str">
        <x:v>Medium</x:v>
      </x:c>
      <x:c r="D230" s="60" t="str">
        <x:v>Chemistry</x:v>
      </x:c>
      <x:c r="E230" s="60" t="str">
        <x:v>A uniform magnetic field exists in the plane of paper as shown in the diagram. In this field, an electron (e) and a positron (p+) enter as shown. The electron and positron experience forces</x:v>
      </x:c>
      <x:c r="F230" s="60" t="str">
        <x:v>both pointing into the plane of the paper.</x:v>
      </x:c>
      <x:c r="G230" s="60" t="str">
        <x:v>both pointing out of the plane of the paper.</x:v>
      </x:c>
      <x:c r="H230" s="60" t="str">
        <x:v>pointing into the plane of the paper and out of the plane of the paper respectively.</x:v>
      </x:c>
      <x:c r="I230" s="60" t="str">
        <x:v>pointing out of the plane of the paper and into the plane of the paper respectively.</x:v>
      </x:c>
      <x:c r="J230" s="60" t="str">
        <x:v>both pointing into the plane of the paper.</x:v>
      </x:c>
      <x:c r="K230" s="60" t="str">
        <x:v>The stated electricity or magnetism rule gives both pointing into the plane of the paper..</x:v>
      </x:c>
      <x:c r="L230" s="60" t="str">
        <x:v>CABD5/5</x:v>
      </x:c>
      <x:c r="M230" s="60" t="str">
        <x:v>Science</x:v>
      </x:c>
      <x:c r="N230" s="60" t="str">
        <x:v>Visual or diagram required but unavailable; Required magnetic-field diagram is missing.</x:v>
      </x:c>
      <x:c r="O230" s="60" t="str">
        <x:v>Exclude until a visual is created or replace with a self-contained question.</x:v>
      </x:c>
    </x:row>
    <x:row r="231">
      <x:c r="A231" s="62" t="n">
        <x:v>441</x:v>
      </x:c>
      <x:c r="B231" s="60" t="str">
        <x:v>Science</x:v>
      </x:c>
      <x:c r="C231" s="60" t="str">
        <x:v>Easy</x:v>
      </x:c>
      <x:c r="D231" s="60" t="str">
        <x:v>General Science</x:v>
      </x:c>
      <x:c r="E231" s="60" t="str">
        <x:v>Absolute refractive index of glass and water is 23 and 34 respectively. If the speed of light in glass is 2 108 m/s, the speed of light in water is</x:v>
      </x:c>
      <x:c r="F231" s="60" t="str">
        <x:v>49 108 m/s</x:v>
      </x:c>
      <x:c r="G231" s="60" t="str">
        <x:v>25 108 m/s</x:v>
      </x:c>
      <x:c r="H231" s="60" t="str">
        <x:v>37 108 m/s</x:v>
      </x:c>
      <x:c r="I231" s="60" t="str">
        <x:v>916 108 m/s</x:v>
      </x:c>
      <x:c r="J231" s="60" t="str">
        <x:v>49 108 m/s</x:v>
      </x:c>
      <x:c r="K231" s="60" t="str">
        <x:v>The applicable optics principle identifies 49 108 m/s.</x:v>
      </x:c>
      <x:c r="L231" s="60" t="str">
        <x:v>D4CBA/4</x:v>
      </x:c>
      <x:c r="M231" s="60" t="str">
        <x:v>Science</x:v>
      </x:c>
      <x:c r="N231" s="60" t="str">
        <x:v>Refractive-index fractions and scientific notation are corrupted.</x:v>
      </x:c>
      <x:c r="O231" s="60" t="str">
        <x:v>Correct from a reliable source, independently verify the answer, then rescreen.</x:v>
      </x:c>
    </x:row>
    <x:row r="232">
      <x:c r="A232" s="62" t="n">
        <x:v>442</x:v>
      </x:c>
      <x:c r="B232" s="60" t="str">
        <x:v>Science</x:v>
      </x:c>
      <x:c r="C232" s="60" t="str">
        <x:v>Hard</x:v>
      </x:c>
      <x:c r="D232" s="60" t="str">
        <x:v>Electricity &amp; Magnetism</x:v>
      </x:c>
      <x:c r="E232" s="60" t="str">
        <x:v>Consider the following combinations of resistors : The combinations having equivalent resistance 1 is/are</x:v>
      </x:c>
      <x:c r="F232" s="60" t="str">
        <x:v>I and IV</x:v>
      </x:c>
      <x:c r="G232" s="60" t="str">
        <x:v>Only IV</x:v>
      </x:c>
      <x:c r="H232" s="60" t="str">
        <x:v>I and II</x:v>
      </x:c>
      <x:c r="I232" s="60" t="str">
        <x:v>I, II and III</x:v>
      </x:c>
      <x:c r="J232" s="60" t="str">
        <x:v>I and IV</x:v>
      </x:c>
      <x:c r="K232" s="60" t="str">
        <x:v>The stated electricity or magnetism rule gives I and IV.</x:v>
      </x:c>
      <x:c r="L232" s="60" t="str">
        <x:v>D4CBA/4</x:v>
      </x:c>
      <x:c r="M232" s="60" t="str">
        <x:v>Science</x:v>
      </x:c>
      <x:c r="N232" s="60" t="str">
        <x:v>The resistor combinations referenced by the question are not included.</x:v>
      </x:c>
      <x:c r="O232" s="60" t="str">
        <x:v>Correct from a reliable source, independently verify the answer, then rescreen.</x:v>
      </x:c>
    </x:row>
    <x:row r="233">
      <x:c r="A233" s="62" t="n">
        <x:v>443</x:v>
      </x:c>
      <x:c r="B233" s="60" t="str">
        <x:v>Science</x:v>
      </x:c>
      <x:c r="C233" s="60" t="str">
        <x:v>Hard</x:v>
      </x:c>
      <x:c r="D233" s="60" t="str">
        <x:v>Light &amp; Optics</x:v>
      </x:c>
      <x:c r="E233" s="60" t="str">
        <x:v>When a beam of white light passes through a region having very fine dust particles, the colour of light mainly scattered in that region is</x:v>
      </x:c>
      <x:c r="F233" s="60" t="str">
        <x:v>Red</x:v>
      </x:c>
      <x:c r="G233" s="60" t="str">
        <x:v>Orange</x:v>
      </x:c>
      <x:c r="H233" s="60" t="str">
        <x:v>Blue</x:v>
      </x:c>
      <x:c r="I233" s="60" t="str">
        <x:v>Yellow</x:v>
      </x:c>
      <x:c r="J233" s="60" t="str">
        <x:v>Red</x:v>
      </x:c>
      <x:c r="K233" s="60" t="str">
        <x:v>The applicable optics principle identifies Red.</x:v>
      </x:c>
      <x:c r="L233" s="60" t="str">
        <x:v>D4CBA/4</x:v>
      </x:c>
      <x:c r="M233" s="60" t="str">
        <x:v>Science</x:v>
      </x:c>
      <x:c r="N233" s="60" t="str">
        <x:v>Incorrect key: fine particles scatter blue light more strongly than red.</x:v>
      </x:c>
      <x:c r="O233" s="60" t="str">
        <x:v>Correct from a reliable source, independently verify the answer, then rescreen.</x:v>
      </x:c>
    </x:row>
    <x:row r="234">
      <x:c r="A234" s="62" t="n">
        <x:v>445</x:v>
      </x:c>
      <x:c r="B234" s="60" t="str">
        <x:v>Science</x:v>
      </x:c>
      <x:c r="C234" s="60" t="str">
        <x:v>Hard</x:v>
      </x:c>
      <x:c r="D234" s="60" t="str">
        <x:v>Electricity &amp; Magnetism</x:v>
      </x:c>
      <x:c r="E234" s="60" t="str">
        <x:v>A rectangular loop ABCD carrying a current I is situated near a straight conductor XY, such that the conductor is parallel to the side AB of the loop and is in the plane of the loop. If a steady current I is established in the conductor as shown, the conductor XY will</x:v>
      </x:c>
      <x:c r="F234" s="60" t="str">
        <x:v>remain stationary.</x:v>
      </x:c>
      <x:c r="G234" s="60" t="str">
        <x:v>move towards the side AB of the loop.</x:v>
      </x:c>
      <x:c r="H234" s="60" t="str">
        <x:v>move away from the side AB of the loop.</x:v>
      </x:c>
      <x:c r="I234" s="60" t="str">
        <x:v>rotate about its axis.</x:v>
      </x:c>
      <x:c r="J234" s="60" t="str">
        <x:v>remain stationary.</x:v>
      </x:c>
      <x:c r="K234" s="60" t="str">
        <x:v>The stated electricity or magnetism rule gives remain stationary..</x:v>
      </x:c>
      <x:c r="L234" s="60" t="str">
        <x:v>D4CBA/4</x:v>
      </x:c>
      <x:c r="M234" s="60" t="str">
        <x:v>Science</x:v>
      </x:c>
      <x:c r="N234" s="60" t="str">
        <x:v>Visual or diagram required but unavailable; Required conductor-and-loop arrangement is missing.</x:v>
      </x:c>
      <x:c r="O234" s="60" t="str">
        <x:v>Exclude until a visual is created or replace with a self-contained question.</x:v>
      </x:c>
    </x:row>
    <x:row r="235">
      <x:c r="A235" s="62" t="n">
        <x:v>446</x:v>
      </x:c>
      <x:c r="B235" s="60" t="str">
        <x:v>Science</x:v>
      </x:c>
      <x:c r="C235" s="60" t="str">
        <x:v>Medium</x:v>
      </x:c>
      <x:c r="D235" s="60" t="str">
        <x:v>Environment</x:v>
      </x:c>
      <x:c r="E235" s="60" t="str">
        <x:v>Some wastes are given below : (i) Garden waste (ii) Ball point pen refills (iii) Empty medicine bottles made of glass (iv) Peels of fruits and vegetables (v) Old cotton shirt The non-biodegradable wastes among these are</x:v>
      </x:c>
      <x:c r="F235" s="60" t="str">
        <x:v>(i) and (ii)</x:v>
      </x:c>
      <x:c r="G235" s="60" t="str">
        <x:v>(ii) and (iii)</x:v>
      </x:c>
      <x:c r="H235" s="60" t="str">
        <x:v>(i), (iv) and (v)</x:v>
      </x:c>
      <x:c r="I235" s="60" t="str">
        <x:v>(i)</x:v>
      </x:c>
      <x:c r="J235" s="60" t="str">
        <x:v>(i) and (ii)</x:v>
      </x:c>
      <x:c r="K235" s="60" t="str">
        <x:v>The scientific principle described in “Some wastes are given below i Garden” supports (i) and (ii).</x:v>
      </x:c>
      <x:c r="L235" s="60" t="str">
        <x:v>D4CBA/4</x:v>
      </x:c>
      <x:c r="M235" s="60" t="str">
        <x:v>Science</x:v>
      </x:c>
      <x:c r="N235" s="60" t="str">
        <x:v>Incorrect key for non-biodegradable waste.</x:v>
      </x:c>
      <x:c r="O235" s="60" t="str">
        <x:v>Correct from a reliable source, independently verify the answer, then rescreen.</x:v>
      </x:c>
    </x:row>
    <x:row r="236">
      <x:c r="A236" s="62" t="n">
        <x:v>461</x:v>
      </x:c>
      <x:c r="B236" s="60" t="str">
        <x:v>Science</x:v>
      </x:c>
      <x:c r="C236" s="60" t="str">
        <x:v>Hard</x:v>
      </x:c>
      <x:c r="D236" s="60" t="str">
        <x:v>Genetics &amp; Reproduction</x:v>
      </x:c>
      <x:c r="E236" s="60" t="str">
        <x:v>The unit of heredity is</x:v>
      </x:c>
      <x:c r="F236" s="60" t="str">
        <x:v>Chromosome</x:v>
      </x:c>
      <x:c r="G236" s="60" t="str">
        <x:v>Chromatin</x:v>
      </x:c>
      <x:c r="H236" s="60" t="str">
        <x:v>Gene</x:v>
      </x:c>
      <x:c r="I236" s="60" t="str">
        <x:v>DNA</x:v>
      </x:c>
      <x:c r="J236" s="60" t="str">
        <x:v>Gene</x:v>
      </x:c>
      <x:c r="K236" s="60" t="str">
        <x:v>The scientific principle described in “The unit of heredity is” supports Gene.</x:v>
      </x:c>
      <x:c r="L236" s="60" t="str">
        <x:v>EFGH/S</x:v>
      </x:c>
      <x:c r="M236" s="60" t="str">
        <x:v>Science</x:v>
      </x:c>
      <x:c r="N236" s="60" t="str">
        <x:v>Question stem appears incomplete</x:v>
      </x:c>
      <x:c r="O236" s="60" t="str">
        <x:v>Correct from a reliable source, independently verify the answer, then rescreen.</x:v>
      </x:c>
    </x:row>
    <x:row r="237">
      <x:c r="A237" s="62" t="n">
        <x:v>473</x:v>
      </x:c>
      <x:c r="B237" s="60" t="str">
        <x:v>Science</x:v>
      </x:c>
      <x:c r="C237" s="60" t="str">
        <x:v>Medium</x:v>
      </x:c>
      <x:c r="D237" s="60" t="str">
        <x:v>Chemistry</x:v>
      </x:c>
      <x:c r="E237" s="60" t="str">
        <x:v>In which one of the following situations a chemical reaction does not occur?</x:v>
      </x:c>
      <x:c r="F237" s="60" t="str">
        <x:v>Milk is left open at room temperature during summer</x:v>
      </x:c>
      <x:c r="G237" s="60" t="str">
        <x:v>Grapes get fermented</x:v>
      </x:c>
      <x:c r="H237" s="60" t="str">
        <x:v>An iron nail is left exposed to humid atmosphere</x:v>
      </x:c>
      <x:c r="I237" s="60" t="str">
        <x:v>Melting of glaciers In order to prepare dry hydrogen chloride gas in humid atmosphere the gas produced is passed through a guard tube (drying tube) which contains : 1</x:v>
      </x:c>
      <x:c r="J237" s="60" t="str">
        <x:v>Melting of glaciers In order to prepare dry hydrogen chloride gas in humid atmosphere the gas produced is passed through a guard tube (drying tube) which contains : 1</x:v>
      </x:c>
      <x:c r="K237" s="60" t="str">
        <x:v>The chemical property or reaction shown identifies Melting of glaciers In order to prepare dry hydrogen chloride gas in humid atmosphere the gas produced is passed through a guard tube (drying tube) which contains : 1.</x:v>
      </x:c>
      <x:c r="L237" s="60" t="str">
        <x:v>EFHG4</x:v>
      </x:c>
      <x:c r="M237" s="60" t="str">
        <x:v>Science</x:v>
      </x:c>
      <x:c r="N237" s="60" t="str">
        <x:v>Neighbouring question or instruction text is spliced into the record; Neighbouring chemistry question is spliced into the correct option.</x:v>
      </x:c>
      <x:c r="O237" s="60" t="str">
        <x:v>Correct from a reliable source, independently verify the answer, then rescreen.</x:v>
      </x:c>
    </x:row>
    <x:row r="238">
      <x:c r="A238" s="62" t="n">
        <x:v>474</x:v>
      </x:c>
      <x:c r="B238" s="60" t="str">
        <x:v>Science</x:v>
      </x:c>
      <x:c r="C238" s="60" t="str">
        <x:v>Easy</x:v>
      </x:c>
      <x:c r="D238" s="60" t="str">
        <x:v>General Science</x:v>
      </x:c>
      <x:c r="E238" s="60" t="str">
        <x:v>The property by virtue of which a solid material can be drawn into thin wires is called •</x:v>
      </x:c>
      <x:c r="F238" s="60" t="str">
        <x:v>malleability</x:v>
      </x:c>
      <x:c r="G238" s="60" t="str">
        <x:v>ductility</x:v>
      </x:c>
      <x:c r="H238" s="60" t="str">
        <x:v>rigidity</x:v>
      </x:c>
      <x:c r="I238" s="60" t="str">
        <x:v>resistivity Select from the following a hydrocarbon having one C—C bond and one bond</x:v>
      </x:c>
      <x:c r="J238" s="60" t="str">
        <x:v>ductility</x:v>
      </x:c>
      <x:c r="K238" s="60" t="str">
        <x:v>The scientific principle described in “The property by virtue of which a” supports ductility.</x:v>
      </x:c>
      <x:c r="L238" s="60" t="str">
        <x:v>EFHG4</x:v>
      </x:c>
      <x:c r="M238" s="60" t="str">
        <x:v>Science</x:v>
      </x:c>
      <x:c r="N238" s="60" t="str">
        <x:v>Neighbouring question or instruction text is spliced into the record; Neighbouring chemistry question is spliced into an option.</x:v>
      </x:c>
      <x:c r="O238" s="60" t="str">
        <x:v>Correct from a reliable source, independently verify the answer, then rescreen.</x:v>
      </x:c>
    </x:row>
    <x:row r="239">
      <x:c r="A239" s="62" t="n">
        <x:v>476</x:v>
      </x:c>
      <x:c r="B239" s="60" t="str">
        <x:v>Science</x:v>
      </x:c>
      <x:c r="C239" s="60" t="str">
        <x:v>Easy</x:v>
      </x:c>
      <x:c r="D239" s="60" t="str">
        <x:v>Environment</x:v>
      </x:c>
      <x:c r="E239" s="60" t="str">
        <x:v>In the food chains given below. Select the most efficient food chain in terms of energy</x:v>
      </x:c>
      <x:c r="F239" s="60" t="str">
        <x:v>Grass Grasshopper Frog Snake</x:v>
      </x:c>
      <x:c r="G239" s="60" t="str">
        <x:v>Plants —Y Deer —5 Lion</x:v>
      </x:c>
      <x:c r="H239" s="60" t="str">
        <x:v>Plants Man</x:v>
      </x:c>
      <x:c r="I239" s="60" t="str">
        <x:v>Phytoplankton Zooplankton —+ Small Fish —+ Big Fish An optical device 'X' is placed obliquely in the path of a narrow parallel beam of light. If the emergent beam gets displaced laterally, the device</x:v>
      </x:c>
      <x:c r="J239" s="60" t="str">
        <x:v>Grass Grasshopper Frog Snake</x:v>
      </x:c>
      <x:c r="K239" s="60" t="str">
        <x:v>Energy flow and nutrient cycling make Grass Grasshopper Frog Snake correct.</x:v>
      </x:c>
      <x:c r="L239" s="60" t="str">
        <x:v>EFHG4</x:v>
      </x:c>
      <x:c r="M239" s="60" t="str">
        <x:v>Science</x:v>
      </x:c>
      <x:c r="N239" s="60" t="str">
        <x:v>Neighbouring question or instruction text is spliced into the record; Neighbouring optics question is spliced into an option.</x:v>
      </x:c>
      <x:c r="O239" s="60" t="str">
        <x:v>Correct from a reliable source, independently verify the answer, then rescreen.</x:v>
      </x:c>
    </x:row>
    <x:row r="240">
      <x:c r="A240" s="62" t="n">
        <x:v>477</x:v>
      </x:c>
      <x:c r="B240" s="60" t="str">
        <x:v>Science</x:v>
      </x:c>
      <x:c r="C240" s="60" t="str">
        <x:v>Hard</x:v>
      </x:c>
      <x:c r="D240" s="60" t="str">
        <x:v>Light &amp; Optics</x:v>
      </x:c>
      <x:c r="E240" s="60" t="str">
        <x:v>To get an image of magnification —I on a screen using a lens of focal length 20 cm, the object distance must be</x:v>
      </x:c>
      <x:c r="F240" s="60" t="str">
        <x:v>Less than 20 cm</x:v>
      </x:c>
      <x:c r="G240" s="60" t="str">
        <x:v>30 cm</x:v>
      </x:c>
      <x:c r="H240" s="60" t="str">
        <x:v>40 cm</x:v>
      </x:c>
      <x:c r="I240" s="60" t="str">
        <x:v>80 cm When a pure-tall pea plant is crossed with a pure-dwarf pea plant, the percentage of tall pea plants in Fl and F2 generation pea plants will be respectively : 1</x:v>
      </x:c>
      <x:c r="J240" s="60" t="str">
        <x:v>40 cm</x:v>
      </x:c>
      <x:c r="K240" s="60" t="str">
        <x:v>The applicable optics principle identifies 40 cm.</x:v>
      </x:c>
      <x:c r="L240" s="60" t="str">
        <x:v>EFHG4</x:v>
      </x:c>
      <x:c r="M240" s="60" t="str">
        <x:v>Science</x:v>
      </x:c>
      <x:c r="N240" s="60" t="str">
        <x:v>Neighbouring question or instruction text is spliced into the record; Neighbouring genetics question is spliced into an option.</x:v>
      </x:c>
      <x:c r="O240" s="60" t="str">
        <x:v>Correct from a reliable source, independently verify the answer, then rescreen.</x:v>
      </x:c>
    </x:row>
    <x:row r="241">
      <x:c r="A241" s="62" t="n">
        <x:v>478</x:v>
      </x:c>
      <x:c r="B241" s="60" t="str">
        <x:v>Science</x:v>
      </x:c>
      <x:c r="C241" s="60" t="str">
        <x:v>Hard</x:v>
      </x:c>
      <x:c r="D241" s="60" t="str">
        <x:v>Genetics &amp; Reproduction</x:v>
      </x:c>
      <x:c r="E241" s="60" t="str">
        <x:v>Which one of the following has half the number of chromosomes and half the amount of DNA as compared to the non-reproductive body cells?</x:v>
      </x:c>
      <x:c r="F241" s="60" t="str">
        <x:v>Male germ cell</x:v>
      </x:c>
      <x:c r="G241" s="60" t="str">
        <x:v>Female germ cell</x:v>
      </x:c>
      <x:c r="H241" s="60" t="str">
        <x:v>Zygote</x:v>
      </x:c>
      <x:c r="I241" s="60" t="str">
        <x:v>Both, male and female germ cells The essential element taken up from the soil by the plants to synthesize proteins is</x:v>
      </x:c>
      <x:c r="J241" s="60" t="str">
        <x:v>Female germ cell</x:v>
      </x:c>
      <x:c r="K241" s="60" t="str">
        <x:v>The described biological process supports Female germ cell.</x:v>
      </x:c>
      <x:c r="L241" s="60" t="str">
        <x:v>EFHG4</x:v>
      </x:c>
      <x:c r="M241" s="60" t="str">
        <x:v>Science</x:v>
      </x:c>
      <x:c r="N241" s="60" t="str">
        <x:v>Neighbouring question or instruction text is spliced into the record; Correct combined germ-cell option is contaminated and key is incomplete.</x:v>
      </x:c>
      <x:c r="O241" s="60" t="str">
        <x:v>Correct from a reliable source, independently verify the answer, then rescreen.</x:v>
      </x:c>
    </x:row>
    <x:row r="242">
      <x:c r="A242" s="62" t="n">
        <x:v>479</x:v>
      </x:c>
      <x:c r="B242" s="60" t="str">
        <x:v>Science</x:v>
      </x:c>
      <x:c r="C242" s="60" t="str">
        <x:v>Medium</x:v>
      </x:c>
      <x:c r="D242" s="60" t="str">
        <x:v>Chemistry</x:v>
      </x:c>
      <x:c r="E242" s="60" t="str">
        <x:v>An element 'M' has 25% of the electrons filled in the third shell as in the second shell. The element 'M' is</x:v>
      </x:c>
      <x:c r="F242" s="60" t="str">
        <x:v>Sodium</x:v>
      </x:c>
      <x:c r="G242" s="60" t="str">
        <x:v>Magnesium</x:v>
      </x:c>
      <x:c r="H242" s="60" t="str">
        <x:v>Aluminium</x:v>
      </x:c>
      <x:c r="I242" s="60" t="str">
        <x:v>Calcium An optical device 'X' is placed obliquely in the path of a narrow parallel beam of light. If the emergent beam gets displaced laterally, the device</x:v>
      </x:c>
      <x:c r="J242" s="60" t="str">
        <x:v>Sodium</x:v>
      </x:c>
      <x:c r="K242" s="60" t="str">
        <x:v>The scientific principle described in “An element M has 25% of the” supports Sodium.</x:v>
      </x:c>
      <x:c r="L242" s="60" t="str">
        <x:v>EFHG4</x:v>
      </x:c>
      <x:c r="M242" s="60" t="str">
        <x:v>Science</x:v>
      </x:c>
      <x:c r="N242" s="60" t="str">
        <x:v>Neighbouring question or instruction text is spliced into the record; Incorrect key and neighbouring optics question spliced into an option.</x:v>
      </x:c>
      <x:c r="O242" s="60" t="str">
        <x:v>Correct from a reliable source, independently verify the answer, then rescreen.</x:v>
      </x:c>
    </x:row>
    <x:row r="243">
      <x:c r="A243" s="62" t="n">
        <x:v>480</x:v>
      </x:c>
      <x:c r="B243" s="60" t="str">
        <x:v>Science</x:v>
      </x:c>
      <x:c r="C243" s="60" t="str">
        <x:v>Medium</x:v>
      </x:c>
      <x:c r="D243" s="60" t="str">
        <x:v>Chemistry</x:v>
      </x:c>
      <x:c r="E243" s="60" t="str">
        <x:v>Select from the following a hydrocarbon having one C—C bond and one CEC bond</x:v>
      </x:c>
      <x:c r="F243" s="60" t="str">
        <x:v>Benzene</x:v>
      </x:c>
      <x:c r="G243" s="60" t="str">
        <x:v>Cyclohexane</x:v>
      </x:c>
      <x:c r="H243" s="60" t="str">
        <x:v>Butyne</x:v>
      </x:c>
      <x:c r="I243" s="60" t="str">
        <x:v>Propyne The essential element taken up from the soil by the plants to synthesize proteins is</x:v>
      </x:c>
      <x:c r="J243" s="60" t="str">
        <x:v>Butyne</x:v>
      </x:c>
      <x:c r="K243" s="60" t="str">
        <x:v>The scientific principle described in “Select from the following a hydrocarbon having” supports Butyne.</x:v>
      </x:c>
      <x:c r="L243" s="60" t="str">
        <x:v>EFHG4</x:v>
      </x:c>
      <x:c r="M243" s="60" t="str">
        <x:v>Science</x:v>
      </x:c>
      <x:c r="N243" s="60" t="str">
        <x:v>Neighbouring question or instruction text is spliced into the record; Correct option is contaminated by neighbouring text and stored key is unreliable.</x:v>
      </x:c>
      <x:c r="O243" s="60" t="str">
        <x:v>Correct from a reliable source, independently verify the answer, then rescreen.</x:v>
      </x:c>
    </x:row>
    <x:row r="244">
      <x:c r="A244" s="62" t="n">
        <x:v>482</x:v>
      </x:c>
      <x:c r="B244" s="60" t="str">
        <x:v>Science</x:v>
      </x:c>
      <x:c r="C244" s="60" t="str">
        <x:v>Hard</x:v>
      </x:c>
      <x:c r="D244" s="60" t="str">
        <x:v>Light &amp; Optics</x:v>
      </x:c>
      <x:c r="E244" s="60" t="str">
        <x:v>To get an image of magnification —l on a screen using a lens of focal length 20 cm, the object distance must be</x:v>
      </x:c>
      <x:c r="F244" s="60" t="str">
        <x:v>Less than 20 cm</x:v>
      </x:c>
      <x:c r="G244" s="60" t="str">
        <x:v>30 cm</x:v>
      </x:c>
      <x:c r="H244" s="60" t="str">
        <x:v>40 cm</x:v>
      </x:c>
      <x:c r="I244" s="60" t="str">
        <x:v>80 cm</x:v>
      </x:c>
      <x:c r="J244" s="60" t="str">
        <x:v>40 cm</x:v>
      </x:c>
      <x:c r="K244" s="60" t="str">
        <x:v>The applicable optics principle identifies 40 cm.</x:v>
      </x:c>
      <x:c r="L244" s="60" t="str">
        <x:v>EFHG4</x:v>
      </x:c>
      <x:c r="M244" s="60" t="str">
        <x:v>Science</x:v>
      </x:c>
      <x:c r="N244" s="60" t="str">
        <x:v>Near-duplicate optics question with a corrupted magnification symbol.</x:v>
      </x:c>
      <x:c r="O244" s="60" t="str">
        <x:v>Correct from a reliable source, independently verify the answer, then rescreen.</x:v>
      </x:c>
    </x:row>
    <x:row r="245">
      <x:c r="A245" s="62" t="n">
        <x:v>487</x:v>
      </x:c>
      <x:c r="B245" s="60" t="str">
        <x:v>Science</x:v>
      </x:c>
      <x:c r="C245" s="60" t="str">
        <x:v>Easy</x:v>
      </x:c>
      <x:c r="D245" s="60" t="str">
        <x:v>General Science</x:v>
      </x:c>
      <x:c r="E245" s="60" t="str">
        <x:v>In the given figure the angle of incidence and the angle of deviation respectively are</x:v>
      </x:c>
      <x:c r="F245" s="60" t="str">
        <x:v>1 and 5</x:v>
      </x:c>
      <x:c r="G245" s="60" t="str">
        <x:v>7 and 6</x:v>
      </x:c>
      <x:c r="H245" s="60" t="str">
        <x:v>7 and 4</x:v>
      </x:c>
      <x:c r="I245" s="60" t="str">
        <x:v>1 and 6</x:v>
      </x:c>
      <x:c r="J245" s="60" t="str">
        <x:v>1 and 6</x:v>
      </x:c>
      <x:c r="K245" s="60" t="str">
        <x:v>The scientific principle described in “In the given figure the angle of” supports 1 and 6.</x:v>
      </x:c>
      <x:c r="L245" s="60" t="str">
        <x:v>GHF2E</x:v>
      </x:c>
      <x:c r="M245" s="60" t="str">
        <x:v>Science</x:v>
      </x:c>
      <x:c r="N245" s="60" t="str">
        <x:v>Visual or diagram required but unavailable; Required optics figure is missing.</x:v>
      </x:c>
      <x:c r="O245" s="60" t="str">
        <x:v>Exclude until a visual is created or replace with a self-contained question.</x:v>
      </x:c>
    </x:row>
    <x:row r="246">
      <x:c r="A246" s="62" t="n">
        <x:v>488</x:v>
      </x:c>
      <x:c r="B246" s="60" t="str">
        <x:v>Science</x:v>
      </x:c>
      <x:c r="C246" s="60" t="str">
        <x:v>Medium</x:v>
      </x:c>
      <x:c r="D246" s="60" t="str">
        <x:v>Life Processes</x:v>
      </x:c>
      <x:c r="E246" s="60" t="str">
        <x:v>Observe the given figures A and B. When chhui-mui (sensitive) plant is touched, its leaves fold. This is due to : Figure A Figure B</x:v>
      </x:c>
      <x:c r="F246" s="60" t="str">
        <x:v>Hormonal effect</x:v>
      </x:c>
      <x:c r="G246" s="60" t="str">
        <x:v>Thermal effect</x:v>
      </x:c>
      <x:c r="H246" s="60" t="str">
        <x:v>Change in amount of water in cells</x:v>
      </x:c>
      <x:c r="I246" s="60" t="str">
        <x:v>Electromagnetic effect</x:v>
      </x:c>
      <x:c r="J246" s="60" t="str">
        <x:v>Change in amount of water in cells</x:v>
      </x:c>
      <x:c r="K246" s="60" t="str">
        <x:v>The described biological process supports Change in amount of water in cells.</x:v>
      </x:c>
      <x:c r="L246" s="60" t="str">
        <x:v>GHF2E</x:v>
      </x:c>
      <x:c r="M246" s="60" t="str">
        <x:v>Science</x:v>
      </x:c>
      <x:c r="N246" s="60" t="str">
        <x:v>Visual or diagram required but unavailable; Required plant figures are missing.</x:v>
      </x:c>
      <x:c r="O246" s="60" t="str">
        <x:v>Exclude until a visual is created or replace with a self-contained question.</x:v>
      </x:c>
    </x:row>
    <x:row r="247">
      <x:c r="A247" s="62" t="n">
        <x:v>491</x:v>
      </x:c>
      <x:c r="B247" s="60" t="str">
        <x:v>Science</x:v>
      </x:c>
      <x:c r="C247" s="60" t="str">
        <x:v>Medium</x:v>
      </x:c>
      <x:c r="D247" s="60" t="str">
        <x:v>Chemistry</x:v>
      </x:c>
      <x:c r="E247" s="60" t="str">
        <x:v>The warning sign shown in the given figure must invariably be displayed/pasted on the containers which contain hydroxide of</x:v>
      </x:c>
      <x:c r="F247" s="60" t="str">
        <x:v>Aluminium</x:v>
      </x:c>
      <x:c r="G247" s="60" t="str">
        <x:v>Calcium</x:v>
      </x:c>
      <x:c r="H247" s="60" t="str">
        <x:v>Sodium</x:v>
      </x:c>
      <x:c r="I247" s="60" t="str">
        <x:v>Magnesium</x:v>
      </x:c>
      <x:c r="J247" s="60" t="str">
        <x:v>Sodium</x:v>
      </x:c>
      <x:c r="K247" s="60" t="str">
        <x:v>The chemical property or reaction shown identifies Sodium.</x:v>
      </x:c>
      <x:c r="L247" s="60" t="str">
        <x:v>GHF2E</x:v>
      </x:c>
      <x:c r="M247" s="60" t="str">
        <x:v>Science</x:v>
      </x:c>
      <x:c r="N247" s="60" t="str">
        <x:v>Visual or diagram required but unavailable; Required warning-sign figure is missing.</x:v>
      </x:c>
      <x:c r="O247" s="60" t="str">
        <x:v>Exclude until a visual is created or replace with a self-contained question.</x:v>
      </x:c>
    </x:row>
    <x:row r="248">
      <x:c r="A248" s="62" t="n">
        <x:v>506</x:v>
      </x:c>
      <x:c r="B248" s="60" t="str">
        <x:v>Science</x:v>
      </x:c>
      <x:c r="C248" s="60" t="str">
        <x:v>Hard</x:v>
      </x:c>
      <x:c r="D248" s="60" t="str">
        <x:v>Genetics &amp; Reproduction</x:v>
      </x:c>
      <x:c r="E248" s="60" t="str">
        <x:v>When a human egg is fertilized by a sperm having ‘Y’ chromosome, the zygote has the following combination of chromosomes:</x:v>
      </x:c>
      <x:c r="F248" s="60" t="str">
        <x:v>44 + XX</x:v>
      </x:c>
      <x:c r="G248" s="60" t="str">
        <x:v>22 + XX</x:v>
      </x:c>
      <x:c r="H248" s="60" t="str">
        <x:v>44 + XY</x:v>
      </x:c>
      <x:c r="I248" s="60" t="str">
        <x:v>22 + XY</x:v>
      </x:c>
      <x:c r="J248" s="60" t="str">
        <x:v>22 + XX</x:v>
      </x:c>
      <x:c r="K248" s="60" t="str">
        <x:v>The scientific principle described in “When a human egg is fertilized by” supports 22 + XX.</x:v>
      </x:c>
      <x:c r="L248" s="60" t="str">
        <x:v>KL5NM</x:v>
      </x:c>
      <x:c r="M248" s="60" t="str">
        <x:v>Science</x:v>
      </x:c>
      <x:c r="N248" s="60" t="str">
        <x:v>Incorrect key: a Y-bearing sperm produces a zygote with 44 + XY chromosomes.</x:v>
      </x:c>
      <x:c r="O248" s="60" t="str">
        <x:v>Correct from a reliable source, independently verify the answer, then rescreen.</x:v>
      </x:c>
    </x:row>
    <x:row r="249">
      <x:c r="A249" s="62" t="n">
        <x:v>508</x:v>
      </x:c>
      <x:c r="B249" s="60" t="str">
        <x:v>Science</x:v>
      </x:c>
      <x:c r="C249" s="60" t="str">
        <x:v>Medium</x:v>
      </x:c>
      <x:c r="D249" s="60" t="str">
        <x:v>Life Processes</x:v>
      </x:c>
      <x:c r="E249" s="60" t="str">
        <x:v>In a synapse, the chemical signal is transmitted from:</x:v>
      </x:c>
      <x:c r="F249" s="60" t="str">
        <x:v>Dendritic end of one neuron to axonal end of another neuron.</x:v>
      </x:c>
      <x:c r="G249" s="60" t="str">
        <x:v>Axon to cell body of the same neuron.</x:v>
      </x:c>
      <x:c r="H249" s="60" t="str">
        <x:v>Cell body to axonal end of the same neuron.</x:v>
      </x:c>
      <x:c r="I249" s="60" t="str">
        <x:v>Axonal end of one neuron to dendritic end of another neuron. Bell-jar Watch-glass containing potassium hydroxide [ ]</x:v>
      </x:c>
      <x:c r="J249" s="60" t="str">
        <x:v>Axon to cell body of the same neuron.</x:v>
      </x:c>
      <x:c r="K249" s="60" t="str">
        <x:v>The scientific principle described in “In a synapse the chemical signal is” supports Axon to cell body of the same neuron..</x:v>
      </x:c>
      <x:c r="L249" s="60" t="str">
        <x:v>LKN3M</x:v>
      </x:c>
      <x:c r="M249" s="60" t="str">
        <x:v>Science</x:v>
      </x:c>
      <x:c r="N249" s="60" t="str">
        <x:v>Neighbouring question or instruction text is spliced into the record; Incorrect synapse key and neighbouring figure text spliced into an option.</x:v>
      </x:c>
      <x:c r="O249" s="60" t="str">
        <x:v>Correct from a reliable source, independently verify the answer, then rescreen.</x:v>
      </x:c>
    </x:row>
    <x:row r="250">
      <x:c r="A250" s="62" t="n">
        <x:v>510</x:v>
      </x:c>
      <x:c r="B250" s="60" t="str">
        <x:v>Science</x:v>
      </x:c>
      <x:c r="C250" s="60" t="str">
        <x:v>Medium</x:v>
      </x:c>
      <x:c r="D250" s="60" t="str">
        <x:v>General Science</x:v>
      </x:c>
      <x:c r="E250" s="60" t="str">
        <x:v>Observe the figure given below and identify the incorrect step for the activity set-up : 1 (I) (II)</x:v>
      </x:c>
      <x:c r="F250" s="60" t="str">
        <x:v>Both plants are kept in the dark room for three days before placing them in separate glass jars.</x:v>
      </x:c>
      <x:c r="G250" s="60" t="str">
        <x:v>Both plants are covered with separate wooden bell-jars.</x:v>
      </x:c>
      <x:c r="H250" s="60" t="str">
        <x:v>Use vaseline to seal the bottom of the jars with the glass plates.</x:v>
      </x:c>
      <x:c r="I250" s="60" t="str">
        <x:v>Both potted plants were kept in sunlight for a few hours before the iodine test for the presence of starch.</x:v>
      </x:c>
      <x:c r="J250" s="60" t="str">
        <x:v>Both plants are covered with separate wooden bell-jars.</x:v>
      </x:c>
      <x:c r="K250" s="60" t="str">
        <x:v>The scientific principle described in “Observe the figure given below and identify” supports Both plants are covered with separate wooden bell-jars..</x:v>
      </x:c>
      <x:c r="L250" s="60" t="str">
        <x:v>LKN3M</x:v>
      </x:c>
      <x:c r="M250" s="60" t="str">
        <x:v>Science</x:v>
      </x:c>
      <x:c r="N250" s="60" t="str">
        <x:v>Visual or diagram required but unavailable; Neighbouring question or instruction text is spliced into the record; Required experiment figure is missing.</x:v>
      </x:c>
      <x:c r="O250" s="60" t="str">
        <x:v>Exclude until a visual is created or replace with a self-contained question.</x:v>
      </x:c>
    </x:row>
    <x:row r="251">
      <x:c r="A251" s="62" t="n">
        <x:v>512</x:v>
      </x:c>
      <x:c r="B251" s="60" t="str">
        <x:v>Science</x:v>
      </x:c>
      <x:c r="C251" s="60" t="str">
        <x:v>Medium</x:v>
      </x:c>
      <x:c r="D251" s="60" t="str">
        <x:v>Life Processes</x:v>
      </x:c>
      <x:c r="E251" s="60" t="str">
        <x:v>Pravin was given a list of characteristics associated with the process of anaerobic respiration in humans, in the table given below : Location Condition End Product Characteristic (i) Muscle Cell (ii) Requires presence of Oxygen (O2) and Carbon dioxide (CO2) (iii) 3-Carbon molecules Which of the above characteristics is/are related to the above process?</x:v>
      </x:c>
      <x:c r="F251" s="60" t="str">
        <x:v>(i) and (ii)</x:v>
      </x:c>
      <x:c r="G251" s="60" t="str">
        <x:v>(i) and (iii)</x:v>
      </x:c>
      <x:c r="H251" s="60" t="str">
        <x:v>(ii) and (iii)</x:v>
      </x:c>
      <x:c r="I251" s="60" t="str">
        <x:v>(i) only [ ]</x:v>
      </x:c>
      <x:c r="J251" s="60" t="str">
        <x:v>(i) and (ii)</x:v>
      </x:c>
      <x:c r="K251" s="60" t="str">
        <x:v>The chemical property or reaction shown identifies (i) and (ii).</x:v>
      </x:c>
      <x:c r="L251" s="60" t="str">
        <x:v>LKN3M</x:v>
      </x:c>
      <x:c r="M251" s="60" t="str">
        <x:v>Science</x:v>
      </x:c>
      <x:c r="N251" s="60" t="str">
        <x:v>Incorrect key for anaerobic respiration characteristics.</x:v>
      </x:c>
      <x:c r="O251" s="60" t="str">
        <x:v>Correct from a reliable source, independently verify the answer, then rescreen.</x:v>
      </x:c>
    </x:row>
    <x:row r="252">
      <x:c r="A252" s="62" t="n">
        <x:v>515</x:v>
      </x:c>
      <x:c r="B252" s="60" t="str">
        <x:v>Science</x:v>
      </x:c>
      <x:c r="C252" s="60" t="str">
        <x:v>Medium</x:v>
      </x:c>
      <x:c r="D252" s="60" t="str">
        <x:v>Chemistry</x:v>
      </x:c>
      <x:c r="E252" s="60" t="str">
        <x:v>In the given figure, identify the trophic level having maximum concentration of harmful chemicals.</x:v>
      </x:c>
      <x:c r="F252" s="60" t="str">
        <x:v>T1</x:v>
      </x:c>
      <x:c r="G252" s="60" t="str">
        <x:v>T5</x:v>
      </x:c>
      <x:c r="H252" s="60" t="str">
        <x:v>T4</x:v>
      </x:c>
      <x:c r="I252" s="60" t="str">
        <x:v>T3</x:v>
      </x:c>
      <x:c r="J252" s="60" t="str">
        <x:v>T4</x:v>
      </x:c>
      <x:c r="K252" s="60" t="str">
        <x:v>Energy flow and nutrient cycling make T4 correct.</x:v>
      </x:c>
      <x:c r="L252" s="60" t="str">
        <x:v>LMNK2</x:v>
      </x:c>
      <x:c r="M252" s="60" t="str">
        <x:v>Science</x:v>
      </x:c>
      <x:c r="N252" s="60" t="str">
        <x:v>Visual or diagram required but unavailable; Required trophic-level figure is missing.</x:v>
      </x:c>
      <x:c r="O252" s="60" t="str">
        <x:v>Exclude until a visual is created or replace with a self-contained question.</x:v>
      </x:c>
    </x:row>
    <x:row r="253">
      <x:c r="A253" s="62" t="n">
        <x:v>516</x:v>
      </x:c>
      <x:c r="B253" s="60" t="str">
        <x:v>Science</x:v>
      </x:c>
      <x:c r="C253" s="60" t="str">
        <x:v>Hard</x:v>
      </x:c>
      <x:c r="D253" s="60" t="str">
        <x:v>Genetics &amp; Reproduction</x:v>
      </x:c>
      <x:c r="E253" s="60" t="str">
        <x:v>Spirogyra, despite being a multi -cellular organism, still shows a simple reproductive method. Select the correct op tion with regard to reproduction in Spirogyra:</x:v>
      </x:c>
      <x:c r="F253" s="60" t="str">
        <x:v>Asexual reproduction by division of cells into two cells</x:v>
      </x:c>
      <x:c r="G253" s="60" t="str">
        <x:v>Sexual reproduction by division of cells into many cells</x:v>
      </x:c>
      <x:c r="H253" s="60" t="str">
        <x:v>Asexual reproduction by breaking up of Spirogyra filaments into smaller parts</x:v>
      </x:c>
      <x:c r="I253" s="60" t="str">
        <x:v>Sexual reproduction by the formation of gametes after meiosis of cells of filaments followed by fusion of male and female gametes</x:v>
      </x:c>
      <x:c r="J253" s="60" t="str">
        <x:v>Sexual reproduction by division of cells into many cells</x:v>
      </x:c>
      <x:c r="K253" s="60" t="str">
        <x:v>The described biological process supports Sexual reproduction by division of cells into many cells.</x:v>
      </x:c>
      <x:c r="L253" s="60" t="str">
        <x:v>LMNK2</x:v>
      </x:c>
      <x:c r="M253" s="60" t="str">
        <x:v>Science</x:v>
      </x:c>
      <x:c r="N253" s="60" t="str">
        <x:v>Incorrect key: Spirogyra commonly reproduces asexually by fragmentation.</x:v>
      </x:c>
      <x:c r="O253" s="60" t="str">
        <x:v>Correct from a reliable source, independently verify the answer, then rescreen.</x:v>
      </x:c>
    </x:row>
    <x:row r="254">
      <x:c r="A254" s="62" t="n">
        <x:v>518</x:v>
      </x:c>
      <x:c r="B254" s="60" t="str">
        <x:v>Science</x:v>
      </x:c>
      <x:c r="C254" s="60" t="str">
        <x:v>Medium</x:v>
      </x:c>
      <x:c r="D254" s="60" t="str">
        <x:v>Life Processes</x:v>
      </x:c>
      <x:c r="E254" s="60" t="str">
        <x:v>The following events occur during the process of photosynthesis. Choose the option that indicates the correct events. 1 (i) Oxidation of carbon dioxide to carbohydrates (ii) Conversion of light energy into chemical energy (iii) Absorption of light energy by chlorophyll (iv) Conversion of hydrogen and oxygen into water Options</x:v>
      </x:c>
      <x:c r="F254" s="60" t="str">
        <x:v>(i) and (ii)</x:v>
      </x:c>
      <x:c r="G254" s="60" t="str">
        <x:v>(ii) and (iii)</x:v>
      </x:c>
      <x:c r="H254" s="60" t="str">
        <x:v>(iii) and (iv)</x:v>
      </x:c>
      <x:c r="I254" s="60" t="str">
        <x:v>(i) and (iv) [ ]</x:v>
      </x:c>
      <x:c r="J254" s="60" t="str">
        <x:v>(i) and (iv) [ ]</x:v>
      </x:c>
      <x:c r="K254" s="60" t="str">
        <x:v>The applicable optics principle identifies (i) and (iv) [ ].</x:v>
      </x:c>
      <x:c r="L254" s="60" t="str">
        <x:v>LMNK2</x:v>
      </x:c>
      <x:c r="M254" s="60" t="str">
        <x:v>Science</x:v>
      </x:c>
      <x:c r="N254" s="60" t="str">
        <x:v>Incorrect photosynthesis key; the valid events are light absorption and conversion to chemical energy.</x:v>
      </x:c>
      <x:c r="O254" s="60" t="str">
        <x:v>Correct from a reliable source, independently verify the answer, then rescreen.</x:v>
      </x:c>
    </x:row>
    <x:row r="255">
      <x:c r="A255" s="62" t="n">
        <x:v>525</x:v>
      </x:c>
      <x:c r="B255" s="60" t="str">
        <x:v>Science</x:v>
      </x:c>
      <x:c r="C255" s="60" t="str">
        <x:v>Hard</x:v>
      </x:c>
      <x:c r="D255" s="60" t="str">
        <x:v>Electricity &amp; Magnetism</x:v>
      </x:c>
      <x:c r="E255" s="60" t="str">
        <x:v>A positron enters a uniform magnetic field at right angles to it as shown. The direction of force experienced by the positron will be : Positron</x:v>
      </x:c>
      <x:c r="F255" s="60" t="str">
        <x:v>to the right</x:v>
      </x:c>
      <x:c r="G255" s="60" t="str">
        <x:v>to the left</x:v>
      </x:c>
      <x:c r="H255" s="60" t="str">
        <x:v>into the page</x:v>
      </x:c>
      <x:c r="I255" s="60" t="str">
        <x:v>out of the page</x:v>
      </x:c>
      <x:c r="J255" s="60" t="str">
        <x:v>out of the page</x:v>
      </x:c>
      <x:c r="K255" s="60" t="str">
        <x:v>The stated electricity or magnetism rule gives out of the page.</x:v>
      </x:c>
      <x:c r="L255" s="60" t="str">
        <x:v>Z1XYW/2</x:v>
      </x:c>
      <x:c r="M255" s="60" t="str">
        <x:v>Science</x:v>
      </x:c>
      <x:c r="N255" s="60" t="str">
        <x:v>Visual or diagram required but unavailable; Required magnetic-field direction diagram is missing.</x:v>
      </x:c>
      <x:c r="O255" s="60" t="str">
        <x:v>Exclude until a visual is created or replace with a self-contained question.</x:v>
      </x:c>
    </x:row>
    <x:row r="256">
      <x:c r="A256" s="62" t="n">
        <x:v>528</x:v>
      </x:c>
      <x:c r="B256" s="60" t="str">
        <x:v>Science</x:v>
      </x:c>
      <x:c r="C256" s="60" t="str">
        <x:v>Hard</x:v>
      </x:c>
      <x:c r="D256" s="60" t="str">
        <x:v>Genetics &amp; Reproduction</x:v>
      </x:c>
      <x:c r="E256" s="60" t="str">
        <x:v>following combination of chromosomes</x:v>
      </x:c>
      <x:c r="F256" s="60" t="str">
        <x:v>44 + XX</x:v>
      </x:c>
      <x:c r="G256" s="60" t="str">
        <x:v>44 + XY</x:v>
      </x:c>
      <x:c r="H256" s="60" t="str">
        <x:v>22 + XX</x:v>
      </x:c>
      <x:c r="I256" s="60" t="str">
        <x:v>22 + XY</x:v>
      </x:c>
      <x:c r="J256" s="60" t="str">
        <x:v>44 + XX</x:v>
      </x:c>
      <x:c r="K256" s="60" t="str">
        <x:v>The scientific principle described in “following combination of chromosomes” supports 44 + XX.</x:v>
      </x:c>
      <x:c r="L256" s="60" t="str">
        <x:v>Z1XYW/2</x:v>
      </x:c>
      <x:c r="M256" s="60" t="str">
        <x:v>Science</x:v>
      </x:c>
      <x:c r="N256" s="60" t="str">
        <x:v>Question stem is incomplete.</x:v>
      </x:c>
      <x:c r="O256" s="60" t="str">
        <x:v>Correct from a reliable source, independently verify the answer, then rescreen.</x:v>
      </x:c>
    </x:row>
    <x:row r="257">
      <x:c r="A257" s="62" t="n">
        <x:v>529</x:v>
      </x:c>
      <x:c r="B257" s="60" t="str">
        <x:v>Science</x:v>
      </x:c>
      <x:c r="C257" s="60" t="str">
        <x:v>Hard</x:v>
      </x:c>
      <x:c r="D257" s="60" t="str">
        <x:v>Electricity &amp; Magnetism</x:v>
      </x:c>
      <x:c r="E257" s="60" t="str">
        <x:v>For vwe show the arrangement of different circuit components. We find that with respect to the resistor, the</x:v>
      </x:c>
      <x:c r="F257" s="60" t="str">
        <x:v>ammeter is connected in parallel and the voltmeter in series.</x:v>
      </x:c>
      <x:c r="G257" s="60" t="str">
        <x:v>ammeter is connected in series and the voltmeter in parallel.</x:v>
      </x:c>
      <x:c r="H257" s="60" t="str">
        <x:v>ammeter and voltmeter are both connected in series.</x:v>
      </x:c>
      <x:c r="I257" s="60" t="str">
        <x:v>ammeter and voltmeter are both connected in parallel.</x:v>
      </x:c>
      <x:c r="J257" s="60" t="str">
        <x:v>ammeter is connected in series and the voltmeter in parallel.</x:v>
      </x:c>
      <x:c r="K257" s="60" t="str">
        <x:v>The stated electricity or magnetism rule gives ammeter is connected in series and the voltmeter in parallel..</x:v>
      </x:c>
      <x:c r="L257" s="60" t="str">
        <x:v>Z1XYW/2</x:v>
      </x:c>
      <x:c r="M257" s="60" t="str">
        <x:v>Science</x:v>
      </x:c>
      <x:c r="N257" s="60" t="str">
        <x:v>Question stem is corrupted and required circuit arrangement is absent.</x:v>
      </x:c>
      <x:c r="O257" s="60" t="str">
        <x:v>Correct from a reliable source, independently verify the answer, then rescreen.</x:v>
      </x:c>
    </x:row>
    <x:row r="258">
      <x:c r="A258" s="62" t="n">
        <x:v>531</x:v>
      </x:c>
      <x:c r="B258" s="60" t="str">
        <x:v>Science</x:v>
      </x:c>
      <x:c r="C258" s="60" t="str">
        <x:v>Medium</x:v>
      </x:c>
      <x:c r="D258" s="60" t="str">
        <x:v>Life Processes</x:v>
      </x:c>
      <x:c r="E258" s="60" t="str">
        <x:v>In the following diagram, identify the cells through which massive amounts of gaseous exchange takes place for photosynthesis</x:v>
      </x:c>
      <x:c r="F258" s="60" t="str">
        <x:v>I</x:v>
      </x:c>
      <x:c r="G258" s="60" t="str">
        <x:v>IV</x:v>
      </x:c>
      <x:c r="H258" s="60" t="str">
        <x:v>III</x:v>
      </x:c>
      <x:c r="I258" s="60" t="str">
        <x:v>II I II III IV</x:v>
      </x:c>
      <x:c r="J258" s="60" t="str">
        <x:v>IV</x:v>
      </x:c>
      <x:c r="K258" s="60" t="str">
        <x:v>The chemical property or reaction shown identifies IV.</x:v>
      </x:c>
      <x:c r="L258" s="60" t="str">
        <x:v>Z1XYW/2</x:v>
      </x:c>
      <x:c r="M258" s="60" t="str">
        <x:v>Science</x:v>
      </x:c>
      <x:c r="N258" s="60" t="str">
        <x:v>Visual or diagram required but unavailable; Required leaf-cell diagram is missing.</x:v>
      </x:c>
      <x:c r="O258" s="60" t="str">
        <x:v>Exclude until a visual is created or replace with a self-contained question.</x:v>
      </x:c>
    </x:row>
    <x:row r="259">
      <x:c r="A259" s="62" t="n">
        <x:v>539</x:v>
      </x:c>
      <x:c r="B259" s="60" t="str">
        <x:v>Science</x:v>
      </x:c>
      <x:c r="C259" s="60" t="str">
        <x:v>Hard</x:v>
      </x:c>
      <x:c r="D259" s="60" t="str">
        <x:v>Electricity &amp; Magnetism</x:v>
      </x:c>
      <x:c r="E259" s="60" t="str">
        <x:v>we show the arrangement of different circuit components. We find that with respect to the resistor, the</x:v>
      </x:c>
      <x:c r="F259" s="60" t="str">
        <x:v>ammeter is connected in parallel and the voltmeter in series.</x:v>
      </x:c>
      <x:c r="G259" s="60" t="str">
        <x:v>ammeter is connected in series and the voltmeter in parallel.</x:v>
      </x:c>
      <x:c r="H259" s="60" t="str">
        <x:v>ammeter and voltmeter are both connected in series.</x:v>
      </x:c>
      <x:c r="I259" s="60" t="str">
        <x:v>ammeter and voltmeter are both connected in parallel.</x:v>
      </x:c>
      <x:c r="J259" s="60" t="str">
        <x:v>ammeter is connected in series and the voltmeter in parallel.</x:v>
      </x:c>
      <x:c r="K259" s="60" t="str">
        <x:v>The stated electricity or magnetism rule gives ammeter is connected in series and the voltmeter in parallel..</x:v>
      </x:c>
      <x:c r="L259" s="60" t="str">
        <x:v>Z1XYW/2</x:v>
      </x:c>
      <x:c r="M259" s="60" t="str">
        <x:v>Science</x:v>
      </x:c>
      <x:c r="N259" s="60" t="str">
        <x:v>Near-duplicate corrupted circuit question.</x:v>
      </x:c>
      <x:c r="O259" s="60" t="str">
        <x:v>Correct from a reliable source, independently verify the answer, then rescreen.</x:v>
      </x:c>
    </x:row>
    <x:row r="260">
      <x:c r="A260" s="62" t="n">
        <x:v>547</x:v>
      </x:c>
      <x:c r="B260" s="60" t="str">
        <x:v>Science</x:v>
      </x:c>
      <x:c r="C260" s="60" t="str">
        <x:v>Hard</x:v>
      </x:c>
      <x:c r="D260" s="60" t="str">
        <x:v>Electricity &amp; Magnetism</x:v>
      </x:c>
      <x:c r="E260" s="60" t="str">
        <x:v>The resistance of a resistor is reduced to half of its initial value. If other parameters of the electrical circuit remain unalter ed, the amount of heat produced in the resistor will become:</x:v>
      </x:c>
      <x:c r="F260" s="60" t="str">
        <x:v>four times</x:v>
      </x:c>
      <x:c r="G260" s="60" t="str">
        <x:v>two times</x:v>
      </x:c>
      <x:c r="H260" s="60" t="str">
        <x:v>half</x:v>
      </x:c>
      <x:c r="I260" s="60" t="str">
        <x:v>one fourth</x:v>
      </x:c>
      <x:c r="J260" s="60" t="str">
        <x:v>two times</x:v>
      </x:c>
      <x:c r="K260" s="60" t="str">
        <x:v>The stated electricity or magnetism rule gives two times.</x:v>
      </x:c>
      <x:c r="L260" s="60" t="str">
        <x:v>Z1XYW/4</x:v>
      </x:c>
      <x:c r="M260" s="60" t="str">
        <x:v>Science</x:v>
      </x:c>
      <x:c r="N260" s="60" t="str">
        <x:v>Heat result is ambiguous unless constant voltage or constant current is specified.</x:v>
      </x:c>
      <x:c r="O260" s="60" t="str">
        <x:v>Correct from a reliable source, independently verify the answer, then rescreen.</x:v>
      </x:c>
    </x:row>
    <x:row r="261">
      <x:c r="A261" s="62" t="n">
        <x:v>552</x:v>
      </x:c>
      <x:c r="B261" s="60" t="str">
        <x:v>Science</x:v>
      </x:c>
      <x:c r="C261" s="60" t="str">
        <x:v>Hard</x:v>
      </x:c>
      <x:c r="D261" s="60" t="str">
        <x:v>Electricity &amp; Magnetism</x:v>
      </x:c>
      <x:c r="E261" s="60" t="str">
        <x:v>A constant current flows in a horizontal wire in the plane of the paper from east to west as shown in the figure. The direction of the magnetic field will be north to south at a point</x:v>
      </x:c>
      <x:c r="F261" s="60" t="str">
        <x:v>directly above the wire.</x:v>
      </x:c>
      <x:c r="G261" s="60" t="str">
        <x:v>directly below the wire.</x:v>
      </x:c>
      <x:c r="H261" s="60" t="str">
        <x:v>located in the plane of the paper on the north side of the wire.</x:v>
      </x:c>
      <x:c r="I261" s="60" t="str">
        <x:v>located in the plane of the paper on the south side of the wire.</x:v>
      </x:c>
      <x:c r="J261" s="60" t="str">
        <x:v>directly below the wire.</x:v>
      </x:c>
      <x:c r="K261" s="60" t="str">
        <x:v>The stated electricity or magnetism rule gives directly below the wire..</x:v>
      </x:c>
      <x:c r="L261" s="60" t="str">
        <x:v>Z1XYW/5</x:v>
      </x:c>
      <x:c r="M261" s="60" t="str">
        <x:v>Science</x:v>
      </x:c>
      <x:c r="N261" s="60" t="str">
        <x:v>Visual or diagram required but unavailable; Question explicitly depends on a missing figure.</x:v>
      </x:c>
      <x:c r="O261" s="60" t="str">
        <x:v>Exclude until a visual is created or replace with a self-contained question.</x:v>
      </x:c>
    </x:row>
    <x:row r="262">
      <x:c r="A262" s="62" t="n">
        <x:v>565</x:v>
      </x:c>
      <x:c r="B262" s="60" t="str">
        <x:v>Science</x:v>
      </x:c>
      <x:c r="C262" s="60" t="str">
        <x:v>Hard</x:v>
      </x:c>
      <x:c r="D262" s="60" t="str">
        <x:v>Electricity &amp; Magnetism</x:v>
      </x:c>
      <x:c r="E262" s="60" t="str">
        <x:v>A material used for making heating elements of electrical heating devices should have</x:v>
      </x:c>
      <x:c r="F262" s="60" t="str">
        <x:v>High resistivity and high melting point.</x:v>
      </x:c>
      <x:c r="G262" s="60" t="str">
        <x:v>High resistivity and low melting point.</x:v>
      </x:c>
      <x:c r="H262" s="60" t="str">
        <x:v>Low resistivity and high melting point.</x:v>
      </x:c>
      <x:c r="I262" s="60" t="str">
        <x:v>Low resistivity and low melting point.</x:v>
      </x:c>
      <x:c r="J262" s="60" t="str">
        <x:v>Low resistivity and high melting point.</x:v>
      </x:c>
      <x:c r="K262" s="60" t="str">
        <x:v>The scientific principle described in “A material used for making heating elements” supports Low resistivity and high melting point..</x:v>
      </x:c>
      <x:c r="L262" s="60" t="str">
        <x:v>Z1XYW/C</x:v>
      </x:c>
      <x:c r="M262" s="60" t="str">
        <x:v>Science</x:v>
      </x:c>
      <x:c r="N262" s="60" t="str">
        <x:v>Incorrect key: heating elements require high resistivity and high melting point.</x:v>
      </x:c>
      <x:c r="O262" s="60" t="str">
        <x:v>Correct from a reliable source, independently verify the answer, then rescreen.</x:v>
      </x:c>
    </x:row>
    <x:row r="263">
      <x:c r="A263" s="62" t="n">
        <x:v>571</x:v>
      </x:c>
      <x:c r="B263" s="60" t="str">
        <x:v>Science</x:v>
      </x:c>
      <x:c r="C263" s="60" t="str">
        <x:v>Hard</x:v>
      </x:c>
      <x:c r="D263" s="60" t="str">
        <x:v>Electricity &amp; Magnetism</x:v>
      </x:c>
      <x:c r="E263" s="60" t="str">
        <x:v>The resistance of a wire does not depend on its</x:v>
      </x:c>
      <x:c r="F263" s="60" t="str">
        <x:v>Length</x:v>
      </x:c>
      <x:c r="G263" s="60" t="str">
        <x:v>Area of cross-section</x:v>
      </x:c>
      <x:c r="H263" s="60" t="str">
        <x:v>Shape</x:v>
      </x:c>
      <x:c r="I263" s="60" t="str">
        <x:v>Material</x:v>
      </x:c>
      <x:c r="J263" s="60" t="str">
        <x:v>Area of cross-section</x:v>
      </x:c>
      <x:c r="K263" s="60" t="str">
        <x:v>The stated electricity or magnetism rule gives Area of cross-section.</x:v>
      </x:c>
      <x:c r="L263" s="60" t="str">
        <x:v>Z1XYW/C</x:v>
      </x:c>
      <x:c r="M263" s="60" t="str">
        <x:v>Science</x:v>
      </x:c>
      <x:c r="N263" s="60" t="str">
        <x:v>Incorrect key: resistance depends on area but not on conductor shape.</x:v>
      </x:c>
      <x:c r="O263" s="60" t="str">
        <x:v>Correct from a reliable source, independently verify the answer, then rescreen.</x:v>
      </x:c>
    </x:row>
    <x:row r="264">
      <x:c r="A264" s="62" t="n">
        <x:v>574</x:v>
      </x:c>
      <x:c r="B264" s="60" t="str">
        <x:v>Science</x:v>
      </x:c>
      <x:c r="C264" s="60" t="str">
        <x:v>Hard</x:v>
      </x:c>
      <x:c r="D264" s="60" t="str">
        <x:v>Light &amp; Optics</x:v>
      </x:c>
      <x:c r="E264" s="60" t="str">
        <x:v>When an object is placed beyond 2F of a convex lens, the nature of the image formed is</x:v>
      </x:c>
      <x:c r="F264" s="60" t="str">
        <x:v>Real, inverted and diminished</x:v>
      </x:c>
      <x:c r="G264" s="60" t="str">
        <x:v>Real, erect and magnified</x:v>
      </x:c>
      <x:c r="H264" s="60" t="str">
        <x:v>Virtual, erect and magnified</x:v>
      </x:c>
      <x:c r="I264" s="60" t="str">
        <x:v>Real, inverted and magnified</x:v>
      </x:c>
      <x:c r="J264" s="60" t="str">
        <x:v>Real, erect and magnified</x:v>
      </x:c>
      <x:c r="K264" s="60" t="str">
        <x:v>The applicable optics principle identifies Real, erect and magnified.</x:v>
      </x:c>
      <x:c r="L264" s="60" t="str">
        <x:v>Z1XYW/C</x:v>
      </x:c>
      <x:c r="M264" s="60" t="str">
        <x:v>Science</x:v>
      </x:c>
      <x:c r="N264" s="60" t="str">
        <x:v>Incorrect optics key: beyond 2F gives a real, inverted, diminished image.</x:v>
      </x:c>
      <x:c r="O264" s="60" t="str">
        <x:v>Correct from a reliable source, independently verify the answer, then rescreen.</x:v>
      </x:c>
    </x:row>
    <x:row r="265">
      <x:c r="A265" s="62" t="n">
        <x:v>575</x:v>
      </x:c>
      <x:c r="B265" s="60" t="str">
        <x:v>Science</x:v>
      </x:c>
      <x:c r="C265" s="60" t="str">
        <x:v>Medium</x:v>
      </x:c>
      <x:c r="D265" s="60" t="str">
        <x:v>Chemistry</x:v>
      </x:c>
      <x:c r="E265" s="60" t="str">
        <x:v>Which one of the following metals is malleable and a poor conductor of electricity?</x:v>
      </x:c>
      <x:c r="F265" s="60" t="str">
        <x:v>Copper</x:v>
      </x:c>
      <x:c r="G265" s="60" t="str">
        <x:v>Zinc</x:v>
      </x:c>
      <x:c r="H265" s="60" t="str">
        <x:v>Lead</x:v>
      </x:c>
      <x:c r="I265" s="60" t="str">
        <x:v>Silver</x:v>
      </x:c>
      <x:c r="J265" s="60" t="str">
        <x:v>Silver</x:v>
      </x:c>
      <x:c r="K265" s="60" t="str">
        <x:v>The chemical property or reaction shown identifies Silver.</x:v>
      </x:c>
      <x:c r="L265" s="60" t="str">
        <x:v>Z1XYW/C</x:v>
      </x:c>
      <x:c r="M265" s="60" t="str">
        <x:v>Science</x:v>
      </x:c>
      <x:c r="N265" s="60" t="str">
        <x:v>Incorrect key: lead, not silver, is the poor conductor among the options.</x:v>
      </x:c>
      <x:c r="O265" s="60" t="str">
        <x:v>Correct from a reliable source, independently verify the answer, then rescreen.</x:v>
      </x:c>
    </x:row>
  </x:sheetData>
  <x:conditionalFormatting sqref="N2:N265">
    <x:cfRule type="containsText" dxfId="3" priority="1" operator="containsText" text="Visual"/>
    <x:cfRule type="containsText" dxfId="4" priority="2" operator="containsText" text="Incorrect"/>
  </x:conditionalFormatting>
  <x:pageMargins left="0.7" right="0.7" top="0.75" bottom="0.75" header="0.3" footer="0.3"/>
  <x:tableParts count="1">
    <x:tablePart xmlns:r="http://schemas.openxmlformats.org/officeDocument/2006/relationships" r:id="Rd80bf77ca614452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52" hidden="0" customWidth="1"/>
    <x:col min="3" max="3" width="22" hidden="0" customWidth="1"/>
    <x:col min="4" max="4" width="52" hidden="0" customWidth="1"/>
  </x:cols>
  <x:sheetData>
    <x:row r="1">
      <x:c r="A1" s="67" t="str">
        <x:v>CONTENT SCREENING AND CLASSIFICATION RULES</x:v>
      </x:c>
      <x:c r="B1" s="67"/>
      <x:c r="C1" s="67"/>
      <x:c r="D1" s="67"/>
    </x:row>
    <x:row r="3">
      <x:c r="A3" s="22" t="str">
        <x:v>Area</x:v>
      </x:c>
      <x:c r="B3" s="22" t="str">
        <x:v>Rule</x:v>
      </x:c>
      <x:c r="C3" s="22" t="str">
        <x:v>Outcome</x:v>
      </x:c>
      <x:c r="D3" s="22" t="str">
        <x:v>Rationale</x:v>
      </x:c>
    </x:row>
    <x:row r="4">
      <x:c r="A4" s="80" t="str">
        <x:v>Source preservation</x:v>
      </x:c>
      <x:c r="B4" s="81" t="str">
        <x:v>Q&amp;A.csv is never overwritten.</x:v>
      </x:c>
      <x:c r="C4" s="81" t="str">
        <x:v>Original retained</x:v>
      </x:c>
      <x:c r="D4" s="82" t="str">
        <x:v>Every decision remains traceable to Source_Row.</x:v>
      </x:c>
    </x:row>
    <x:row r="5">
      <x:c r="A5" s="83" t="str">
        <x:v>Subject mapping</x:v>
      </x:c>
      <x:c r="B5" s="84" t="str">
        <x:v>Artificial Intelligence and Computer Applications map to Computer.</x:v>
      </x:c>
      <x:c r="C5" s="84" t="str">
        <x:v>Three subjects</x:v>
      </x:c>
      <x:c r="D5" s="85" t="str">
        <x:v>Matches the approved Module B structure.</x:v>
      </x:c>
    </x:row>
    <x:row r="6">
      <x:c r="A6" s="83" t="str">
        <x:v>Visual dependency</x:v>
      </x:c>
      <x:c r="B6" s="84" t="str">
        <x:v>Questions needing a figure, graph, diagram or sign are excluded.</x:v>
      </x:c>
      <x:c r="C6" s="84" t="str">
        <x:v>Quarantine</x:v>
      </x:c>
      <x:c r="D6" s="85" t="str">
        <x:v>Visuals will be added later.</x:v>
      </x:c>
    </x:row>
    <x:row r="7">
      <x:c r="A7" s="83" t="str">
        <x:v>Answer integrity</x:v>
      </x:c>
      <x:c r="B7" s="84" t="str">
        <x:v>Answers must match exactly one option.</x:v>
      </x:c>
      <x:c r="C7" s="84" t="str">
        <x:v>Quarantine on failure</x:v>
      </x:c>
      <x:c r="D7" s="85" t="str">
        <x:v>Prevents unfair scoring.</x:v>
      </x:c>
    </x:row>
    <x:row r="8">
      <x:c r="A8" s="83" t="str">
        <x:v>Duplicate options</x:v>
      </x:c>
      <x:c r="B8" s="84" t="str">
        <x:v>Normalized options must be unique.</x:v>
      </x:c>
      <x:c r="C8" s="84" t="str">
        <x:v>Quarantine</x:v>
      </x:c>
      <x:c r="D8" s="85" t="str">
        <x:v>Removes ambiguous choices.</x:v>
      </x:c>
    </x:row>
    <x:row r="9">
      <x:c r="A9" s="83" t="str">
        <x:v>Spreadsheet corruption</x:v>
      </x:c>
      <x:c r="B9" s="84" t="str">
        <x:v>Date/time-like fractions and ratios are rejected.</x:v>
      </x:c>
      <x:c r="C9" s="84" t="str">
        <x:v>Quarantine</x:v>
      </x:c>
      <x:c r="D9" s="85" t="str">
        <x:v>Prevents 5/9 becoming 05-Sep.</x:v>
      </x:c>
    </x:row>
    <x:row r="10">
      <x:c r="A10" s="83" t="str">
        <x:v>OCR and notation</x:v>
      </x:c>
      <x:c r="B10" s="84" t="str">
        <x:v>Unreadable formulas, fractions or operators are rejected.</x:v>
      </x:c>
      <x:c r="C10" s="84" t="str">
        <x:v>Quarantine</x:v>
      </x:c>
      <x:c r="D10" s="85" t="str">
        <x:v>Mathematical meaning must be reconstructable.</x:v>
      </x:c>
    </x:row>
    <x:row r="11">
      <x:c r="A11" s="83" t="str">
        <x:v>Easy</x:v>
      </x:c>
      <x:c r="B11" s="84" t="str">
        <x:v>Direct recall or one-step foundational reasoning.</x:v>
      </x:c>
      <x:c r="C11" s="84" t="str">
        <x:v>Easy</x:v>
      </x:c>
      <x:c r="D11" s="85" t="str">
        <x:v>Accessible entry point.</x:v>
      </x:c>
    </x:row>
    <x:row r="12">
      <x:c r="A12" s="83" t="str">
        <x:v>Medium</x:v>
      </x:c>
      <x:c r="B12" s="84" t="str">
        <x:v>Application, interpretation or multi-step reasoning.</x:v>
      </x:c>
      <x:c r="C12" s="84" t="str">
        <x:v>Medium</x:v>
      </x:c>
      <x:c r="D12" s="85" t="str">
        <x:v>Builds subject expertise.</x:v>
      </x:c>
    </x:row>
    <x:row r="13">
      <x:c r="A13" s="83" t="str">
        <x:v>Hard</x:v>
      </x:c>
      <x:c r="B13" s="84" t="str">
        <x:v>Trigonometry, quadratic equations, circle theorems and advanced science.</x:v>
      </x:c>
      <x:c r="C13" s="84" t="str">
        <x:v>Hard</x:v>
      </x:c>
      <x:c r="D13" s="85" t="str">
        <x:v>Preserves the approved advanced content.</x:v>
      </x:c>
    </x:row>
    <x:row r="14">
      <x:c r="A14" s="83" t="str">
        <x:v>Explanation quality</x:v>
      </x:c>
      <x:c r="B14" s="84" t="str">
        <x:v>Candidate explanations still require pedagogical rewriting.</x:v>
      </x:c>
      <x:c r="C14" s="84" t="str">
        <x:v>Editorial review</x:v>
      </x:c>
      <x:c r="D14" s="85" t="str">
        <x:v>Immediate feedback must teach, not merely repeat the key.</x:v>
      </x:c>
    </x:row>
    <x:row r="15">
      <x:c r="A15" s="86" t="str">
        <x:v>Publication gate</x:v>
      </x:c>
      <x:c r="B15" s="87" t="str">
        <x:v>Only independently verified and enriched records may enter Module B.</x:v>
      </x:c>
      <x:c r="C15" s="87" t="str">
        <x:v>Not yet publishable</x:v>
      </x:c>
      <x:c r="D15" s="88" t="str">
        <x:v>This workbook is a screening artifact.</x:v>
      </x:c>
    </x:row>
  </x:sheetData>
  <x:mergeCells>
    <x:mergeCell ref="A1:D1"/>
  </x:mergeCells>
  <x:pageMargins left="0.7" right="0.7" top="0.75" bottom="0.75" header="0.3" footer="0.3"/>
</x:worksheet>
</file>